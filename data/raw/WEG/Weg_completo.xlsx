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rchivos facu\Laboratorio_Archivos_WEG\"/>
    </mc:Choice>
  </mc:AlternateContent>
  <bookViews>
    <workbookView xWindow="0" yWindow="0" windowWidth="28800" windowHeight="11928" firstSheet="4" activeTab="4"/>
  </bookViews>
  <sheets>
    <sheet name="Enero a Junio" sheetId="1" r:id="rId1"/>
    <sheet name="Ene-Jun Filtrada" sheetId="3" r:id="rId2"/>
    <sheet name="Julio a Diciembre" sheetId="2" r:id="rId3"/>
    <sheet name="Jul-Dic Filtrada" sheetId="4" r:id="rId4"/>
    <sheet name="WEG FACTURAS ND NC ANUAL" sheetId="5" r:id="rId5"/>
  </sheets>
  <definedNames>
    <definedName name="_xlnm._FilterDatabase" localSheetId="1" hidden="1">'Ene-Jun Filtrada'!$A$1:$I$217</definedName>
    <definedName name="_xlnm._FilterDatabase" localSheetId="0" hidden="1">'Enero a Junio'!$A$1:$AB$249</definedName>
    <definedName name="_xlnm._FilterDatabase" localSheetId="3" hidden="1">'Jul-Dic Filtrada'!$A$1:$I$1</definedName>
    <definedName name="_xlnm._FilterDatabase" localSheetId="2" hidden="1">'Julio a Diciembre'!$A$1:$H$277</definedName>
    <definedName name="_xlnm._FilterDatabase" localSheetId="4" hidden="1">'WEG FACTURAS ND NC ANUAL'!$A$1:$I$433</definedName>
  </definedNames>
  <calcPr calcId="152511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33" i="5" l="1"/>
  <c r="T251" i="1" l="1"/>
  <c r="K83" i="5"/>
  <c r="K52" i="5"/>
  <c r="K33" i="5"/>
  <c r="F433" i="5" l="1"/>
  <c r="I433" i="5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B7" i="1"/>
  <c r="AB6" i="1"/>
  <c r="AB5" i="1"/>
  <c r="AB4" i="1"/>
  <c r="AB3" i="1"/>
  <c r="AB2" i="1"/>
</calcChain>
</file>

<file path=xl/sharedStrings.xml><?xml version="1.0" encoding="utf-8"?>
<sst xmlns="http://schemas.openxmlformats.org/spreadsheetml/2006/main" count="4738" uniqueCount="429">
  <si>
    <t>CPTE.</t>
  </si>
  <si>
    <t>FECHA</t>
  </si>
  <si>
    <t>MON.</t>
  </si>
  <si>
    <t>COT.</t>
  </si>
  <si>
    <t>TOTAL</t>
  </si>
  <si>
    <t>SALDO</t>
  </si>
  <si>
    <t>IVA</t>
  </si>
  <si>
    <t>NETO</t>
  </si>
  <si>
    <t>CONTACTO</t>
  </si>
  <si>
    <t>CONCEPTO CAJA</t>
  </si>
  <si>
    <t>CONCEPTO</t>
  </si>
  <si>
    <t>OBSERVACIONES</t>
  </si>
  <si>
    <t>USUARIO</t>
  </si>
  <si>
    <t>VIAJANTE</t>
  </si>
  <si>
    <t>FEC. ENTREGA</t>
  </si>
  <si>
    <t>COND. PAGO</t>
  </si>
  <si>
    <t>CÓD./MED. PAGO</t>
  </si>
  <si>
    <t>DESCRIPCIÓN</t>
  </si>
  <si>
    <t>CANT.</t>
  </si>
  <si>
    <t>PRECIO/MONTO</t>
  </si>
  <si>
    <t>PRECIO+IVA</t>
  </si>
  <si>
    <t>DTO 1</t>
  </si>
  <si>
    <t>DTO 2</t>
  </si>
  <si>
    <t>DTO 3</t>
  </si>
  <si>
    <t>FC-A-3-11242</t>
  </si>
  <si>
    <t>$</t>
  </si>
  <si>
    <t>(30002) EMPRENDIMIENTOS</t>
  </si>
  <si>
    <t>CECILIA</t>
  </si>
  <si>
    <t>Ctacte</t>
  </si>
  <si>
    <t>000036</t>
  </si>
  <si>
    <t>BLANCO POLAR (16466355)</t>
  </si>
  <si>
    <t>000515</t>
  </si>
  <si>
    <t>ALUMINIO BARA XP 10-0040 (16363909)</t>
  </si>
  <si>
    <t>000547</t>
  </si>
  <si>
    <t>MARRON OSCURO 77909 (16361221)</t>
  </si>
  <si>
    <t>PA-A-1-837</t>
  </si>
  <si>
    <t>PROVEEDORES</t>
  </si>
  <si>
    <t>Nº 83366397 Vto.31/03/2025 BANCO CREDICOOP COOPERATIVO LIMITADO</t>
  </si>
  <si>
    <t>ADMINISTRACION</t>
  </si>
  <si>
    <t>CT</t>
  </si>
  <si>
    <t>CHEQUE TERCERO (450)</t>
  </si>
  <si>
    <t>Nº 83366396 Vto.27/02/2025 BANCO CREDICOOP COOPERATIVO LIMITADO</t>
  </si>
  <si>
    <t>CHEQUE TERCERO (449)</t>
  </si>
  <si>
    <t>FC-A-3-11250</t>
  </si>
  <si>
    <t>FC-A-3-11249</t>
  </si>
  <si>
    <t>FC-A-3-11255</t>
  </si>
  <si>
    <t>000035</t>
  </si>
  <si>
    <t>NEGRO S/MATE (16356640)</t>
  </si>
  <si>
    <t>FC-A-3-11262</t>
  </si>
  <si>
    <t>000037</t>
  </si>
  <si>
    <t>NEGRO MATE GLASS (16344921)</t>
  </si>
  <si>
    <t>FC-A-3-11266</t>
  </si>
  <si>
    <t>PA-A-1-841</t>
  </si>
  <si>
    <t>Nº 293 Vto.03/02/2025 BANCO DE GALICIA Y BUENOS AIRES S.A.</t>
  </si>
  <si>
    <t>CHEQUE ELECTRONICO (451)</t>
  </si>
  <si>
    <t>Nº 10395734 Vto.27/01/2025 ICBC</t>
  </si>
  <si>
    <t>CHEQUE TERCERO (446)</t>
  </si>
  <si>
    <t>FC-A-3-11273</t>
  </si>
  <si>
    <t>000038</t>
  </si>
  <si>
    <t>PRODUCTO CHEMISA 401</t>
  </si>
  <si>
    <t>FC-A-3-11278</t>
  </si>
  <si>
    <t>000039</t>
  </si>
  <si>
    <t>FOSFODESENGRASE 621</t>
  </si>
  <si>
    <t>FC-A-3-11285</t>
  </si>
  <si>
    <t>PA-A-1-843</t>
  </si>
  <si>
    <t>Nº 10600362 Vto.03/03/2025 ICBC</t>
  </si>
  <si>
    <t>CHEQUE ELECTRONICO (456)</t>
  </si>
  <si>
    <t>FC-A-3-11294</t>
  </si>
  <si>
    <t>FC-A-3-11298</t>
  </si>
  <si>
    <t>FC-A-3-11302</t>
  </si>
  <si>
    <t>PA-A-1-853</t>
  </si>
  <si>
    <t>Nº 2977 Vto.21/04/2025 BANCO DE GALICIA Y BUENOS AIRES S.A.</t>
  </si>
  <si>
    <t>CHEQUE ELECTRONICO (460)</t>
  </si>
  <si>
    <t>FC-A-3-11309</t>
  </si>
  <si>
    <t>FC-A-3-11307</t>
  </si>
  <si>
    <t>000190</t>
  </si>
  <si>
    <t>ALUMINIO ESTRELLA XP</t>
  </si>
  <si>
    <t>000206</t>
  </si>
  <si>
    <t>GRIS LOBO SHELL (17218229)</t>
  </si>
  <si>
    <t>FC-A-3-11312</t>
  </si>
  <si>
    <t>FC-A-3-11311</t>
  </si>
  <si>
    <t>FC-A-3-11316</t>
  </si>
  <si>
    <t>FC-A-3-11322</t>
  </si>
  <si>
    <t>000340</t>
  </si>
  <si>
    <t>GRIS STARA (17720368)</t>
  </si>
  <si>
    <t>FC-A-3-11326</t>
  </si>
  <si>
    <t>FC-A-3-11333</t>
  </si>
  <si>
    <t>FC-A-3-11343</t>
  </si>
  <si>
    <t>FC-A-3-11352</t>
  </si>
  <si>
    <t>CC-A-3-236</t>
  </si>
  <si>
    <t>DEVOLICIÓN DE MERCADERIA</t>
  </si>
  <si>
    <t>FC-A-3-11357</t>
  </si>
  <si>
    <t>FC-A-3-11356</t>
  </si>
  <si>
    <t>FC-A-3-11355</t>
  </si>
  <si>
    <t>PA-A-1-862</t>
  </si>
  <si>
    <t>Nº 10692991 Vto.14/04/2025 ICBC</t>
  </si>
  <si>
    <t>CHEQUE ELECTRONICO (469)</t>
  </si>
  <si>
    <t>FC-A-3-11373</t>
  </si>
  <si>
    <t>PA-A-1-860</t>
  </si>
  <si>
    <t>Nº 55701496 Vto.30/04/2025 BANCO MACRO S.A.</t>
  </si>
  <si>
    <t>CHEQUE ELECTRONICO (468)</t>
  </si>
  <si>
    <t>Nº 55701475 Vto.31/03/2025 BANCO MACRO S.A.</t>
  </si>
  <si>
    <t>CHEQUE ELECTRONICO (467)</t>
  </si>
  <si>
    <t>FC-A-3-11375</t>
  </si>
  <si>
    <t>FC-A-3-11381</t>
  </si>
  <si>
    <t>FC-A-3-11386</t>
  </si>
  <si>
    <t>FC-A-3-11397</t>
  </si>
  <si>
    <t>FC-A-3-11399</t>
  </si>
  <si>
    <t>FC-A-3-11403</t>
  </si>
  <si>
    <t>FC-A-3-11408</t>
  </si>
  <si>
    <t>000203</t>
  </si>
  <si>
    <t>ROD HOLDER KCI</t>
  </si>
  <si>
    <t>FC-A-3-11413</t>
  </si>
  <si>
    <t>FC-A-3-11419</t>
  </si>
  <si>
    <t>FC-A-3-11425</t>
  </si>
  <si>
    <t>PA-A-1-885</t>
  </si>
  <si>
    <t>Nº 10844072 Vto.14/04/2025 ICBC</t>
  </si>
  <si>
    <t>CHEQUE ELECTRONICO (497)</t>
  </si>
  <si>
    <t>Nº 7003 Vto.18/04/2025 BANCO DE LA PROVINCIA DE CORDOBA S.A.</t>
  </si>
  <si>
    <t>CHEQUE ELECTRONICO (496)</t>
  </si>
  <si>
    <t>Nº 219 Vto.20/04/2025 BANCO DE LA PROVINCIA DE CORDOBA S.A.</t>
  </si>
  <si>
    <t>CHEQUE TERCERO (495)</t>
  </si>
  <si>
    <t>Nº 97767037 Vto.20/04/2025 BANCO DE FORMOSA S.A.</t>
  </si>
  <si>
    <t>CHEQUE ELECTRONICO (494)</t>
  </si>
  <si>
    <t>Nº 6421195 Vto.20/04/2025 BANCO DE LA PROVINCIA DE BUENOS AIRES</t>
  </si>
  <si>
    <t>CHEQUE ELECTRONICO (493)</t>
  </si>
  <si>
    <t>Nº 236 Vto.24/04/2025 BANCO DE LA PROVINCIA DE CORDOBA S.A.</t>
  </si>
  <si>
    <t>CHEQUE ELECTRONICO (492)</t>
  </si>
  <si>
    <t>FC-A-3-11431</t>
  </si>
  <si>
    <t>000191</t>
  </si>
  <si>
    <t>GRIS GRAFITO (17138217)</t>
  </si>
  <si>
    <t>FC-A-3-11440</t>
  </si>
  <si>
    <t>PA-A-1-891</t>
  </si>
  <si>
    <t>Nº 23700589 Vto.12/06/2025 BANCO SANTANDER RIO S.A.</t>
  </si>
  <si>
    <t>CHEQUE ELECTRONICO (501)</t>
  </si>
  <si>
    <t>Nº 23700588 Vto.12/05/2025 BANCO SANTANDER RIO S.A.</t>
  </si>
  <si>
    <t>CHEQUE ELECTRONICO (500)</t>
  </si>
  <si>
    <t>FC-A-3-11449</t>
  </si>
  <si>
    <t>FC-A-3-11447</t>
  </si>
  <si>
    <t>PA-A-1-899</t>
  </si>
  <si>
    <t>Nº 6608377 Vto.20/05/2025 BANCO DE LA PROVINCIA DE BUENOS AIRES</t>
  </si>
  <si>
    <t>CHEQUE ELECTRONICO (502)</t>
  </si>
  <si>
    <t>FC-A-3-11454</t>
  </si>
  <si>
    <t>FC-A-3-11456</t>
  </si>
  <si>
    <t>000580</t>
  </si>
  <si>
    <t>NARANJA ABASTIBLE (STARA) (16359115</t>
  </si>
  <si>
    <t>FC-A-3-11457</t>
  </si>
  <si>
    <t>PA-A-1-972</t>
  </si>
  <si>
    <t>Nº 46230386 Vto.16/05/2025 BANCO DE GALICIA Y BUENOS AIRES S.A.</t>
  </si>
  <si>
    <t>CHEQUE TERCERO (535)</t>
  </si>
  <si>
    <t>Nº 26 Vto.30/05/2025 BANCO DE LA NACION ARGENTINA</t>
  </si>
  <si>
    <t>CHEQUE TERCERO (534)</t>
  </si>
  <si>
    <t>Nº 46230387 Vto.16/06/2025 BANCO DE GALICIA Y BUENOS AIRES S.A.</t>
  </si>
  <si>
    <t>CHEQUE TERCERO (533)</t>
  </si>
  <si>
    <t>FC-A-3-11549</t>
  </si>
  <si>
    <t>FC-A-3-11545</t>
  </si>
  <si>
    <t>FC-A-3-11542</t>
  </si>
  <si>
    <t>000193</t>
  </si>
  <si>
    <t>DEFLECTOR KCI</t>
  </si>
  <si>
    <t>FC-A-3-11538</t>
  </si>
  <si>
    <t>FC-A-3-11532</t>
  </si>
  <si>
    <t>FC-A-3-11525</t>
  </si>
  <si>
    <t>PA-A-1-963</t>
  </si>
  <si>
    <t>Nº 1709 Vto.11/06/2025 BANCO SANTANDER RIO S.A.</t>
  </si>
  <si>
    <t>CHEQUE ELECTRONICO (526)</t>
  </si>
  <si>
    <t>FC-A-3-11519</t>
  </si>
  <si>
    <t>FC-A-3-11514</t>
  </si>
  <si>
    <t>000250</t>
  </si>
  <si>
    <t>MANGUERA ORIGINAL CON DESCARGA TIERRA</t>
  </si>
  <si>
    <t>FC-A-3-11513</t>
  </si>
  <si>
    <t>FC-A-3-11511</t>
  </si>
  <si>
    <t>000595</t>
  </si>
  <si>
    <t>NEGRO BRILLANTE ECONOMICO (16356942)</t>
  </si>
  <si>
    <t>CC-A-3-243</t>
  </si>
  <si>
    <t>Z</t>
  </si>
  <si>
    <t>DIFERENCIA DE PRECIO</t>
  </si>
  <si>
    <t>FC-A-3-11508</t>
  </si>
  <si>
    <t>FC-A-3-11507</t>
  </si>
  <si>
    <t>PA-A-1-955</t>
  </si>
  <si>
    <t>Nº 11068532 Vto.09/06/2025 ICBC</t>
  </si>
  <si>
    <t>CHEQUE ELECTRONICO (517)</t>
  </si>
  <si>
    <t>Nº 6686285 Vto.08/06/2025 BANCO DE LA PROVINCIA DE BUENOS AIRES</t>
  </si>
  <si>
    <t>CHEQUE ELECTRONICO (516)</t>
  </si>
  <si>
    <t>Nº 23700618 Vto.10/07/2025 BANCO SANTANDER RIO S.A.</t>
  </si>
  <si>
    <t>CHEQUE ELECTRONICO (515)</t>
  </si>
  <si>
    <t>Nº 90024716 Vto.29/06/2025 BBVA BANCO FRANCES S.A.</t>
  </si>
  <si>
    <t>CHEQUE ELECTRONICO (514)</t>
  </si>
  <si>
    <t>FC-A-3-11502</t>
  </si>
  <si>
    <t>FC-A-3-11498</t>
  </si>
  <si>
    <t>FC-A-3-11495</t>
  </si>
  <si>
    <t>FC-A-3-11489</t>
  </si>
  <si>
    <t>000605</t>
  </si>
  <si>
    <t>NEGRO MICROTEXTURADO (16314958)</t>
  </si>
  <si>
    <t>FC-A-3-11485</t>
  </si>
  <si>
    <t>000147</t>
  </si>
  <si>
    <t>ROJO INTERPERIE</t>
  </si>
  <si>
    <t>FC-A-3-11481</t>
  </si>
  <si>
    <t>000594</t>
  </si>
  <si>
    <t>NEGRO BRILLANTE XP 01-0005</t>
  </si>
  <si>
    <t>FC-A-3-11477</t>
  </si>
  <si>
    <t>PA-A-1-916</t>
  </si>
  <si>
    <t>Nº 10986151 Vto.09/06/2025 ICBC</t>
  </si>
  <si>
    <t>CHEQUE ELECTRONICO (512)</t>
  </si>
  <si>
    <t>Nº 790634 Vto.01/06/2025 NUEVO BANCO DE SANTA FE SOCIEDAD ANONIMA</t>
  </si>
  <si>
    <t>CHEQUE ELECTRONICO (507)</t>
  </si>
  <si>
    <t>FC-A-3-11470</t>
  </si>
  <si>
    <t>FC-A-3-11467</t>
  </si>
  <si>
    <t>FC-A-3-11466</t>
  </si>
  <si>
    <t>CC-A-3-239</t>
  </si>
  <si>
    <t>FC-A-3-11559</t>
  </si>
  <si>
    <t>FC-A-3-11566</t>
  </si>
  <si>
    <t>FC-A-3-11565</t>
  </si>
  <si>
    <t>FC-A-3-11567</t>
  </si>
  <si>
    <t>FC-A-3-11572</t>
  </si>
  <si>
    <t>FC-A-3-11576</t>
  </si>
  <si>
    <t>FC-A-3-11581</t>
  </si>
  <si>
    <t>FC-A-3-11586</t>
  </si>
  <si>
    <t>FC-A-3-11590</t>
  </si>
  <si>
    <t>FC-A-3-11588</t>
  </si>
  <si>
    <t>FC-A-3-11593</t>
  </si>
  <si>
    <t>FC-A-3-11599</t>
  </si>
  <si>
    <t>FC-A-3-11597</t>
  </si>
  <si>
    <t>FC-A-3-11600</t>
  </si>
  <si>
    <t>FC-A-3-11602</t>
  </si>
  <si>
    <t>FC-A-3-11604</t>
  </si>
  <si>
    <t>FC-A-3-11608</t>
  </si>
  <si>
    <t>FC-A-3-11614</t>
  </si>
  <si>
    <t>FC-A-3-11616</t>
  </si>
  <si>
    <t>FC-A-3-11619</t>
  </si>
  <si>
    <t>FC-A-3-11626</t>
  </si>
  <si>
    <t>FC-A-3-11635</t>
  </si>
  <si>
    <t>FC-A-3-11643</t>
  </si>
  <si>
    <t>COTIZACION DEL DOLAR $1.200</t>
  </si>
  <si>
    <t>FC-A-3-11642</t>
  </si>
  <si>
    <t>FC-A-3-11648</t>
  </si>
  <si>
    <t>000390</t>
  </si>
  <si>
    <t>AMARILLO MAIZ (16275198)</t>
  </si>
  <si>
    <t>FC-A-3-11654</t>
  </si>
  <si>
    <t>FC-A-3-11659</t>
  </si>
  <si>
    <t>DOLAR $1.200</t>
  </si>
  <si>
    <t>FC-A-3-11663</t>
  </si>
  <si>
    <t>DOLAR $1200</t>
  </si>
  <si>
    <t>PA-A-1-1009</t>
  </si>
  <si>
    <t>Nº 90009399 Vto.05/08/2025 BBVA BANCO FRANCES S.A.</t>
  </si>
  <si>
    <t>CHEQUE ELECTRONICO (574)</t>
  </si>
  <si>
    <t>FC-A-3-11669</t>
  </si>
  <si>
    <t>FC-A-3-11677</t>
  </si>
  <si>
    <t>000232</t>
  </si>
  <si>
    <t>EQUIPO DE PINTURA EN POLVO KCI</t>
  </si>
  <si>
    <t>FC-A-3-11675</t>
  </si>
  <si>
    <t>FC-A-3-11674</t>
  </si>
  <si>
    <t>FC-A-3-11680</t>
  </si>
  <si>
    <t>FC-A-3-11686</t>
  </si>
  <si>
    <t>FC-A-3-11695</t>
  </si>
  <si>
    <t>DOLAR $1.185</t>
  </si>
  <si>
    <t>PA-A-1-1018</t>
  </si>
  <si>
    <t>Nº 1755 Vto.13/08/2025 BANCO SANTANDER RIO S.A.</t>
  </si>
  <si>
    <t>CHEQUE ELECTRONICO (579)</t>
  </si>
  <si>
    <t>FC-A-3-11699</t>
  </si>
  <si>
    <t>000517</t>
  </si>
  <si>
    <t>ROJO MAINERO (17388586)</t>
  </si>
  <si>
    <t>FC-A-3-11703</t>
  </si>
  <si>
    <t>DOLAR $1.180</t>
  </si>
  <si>
    <t>FC-A-3-11708</t>
  </si>
  <si>
    <t>FC-A-3-11711</t>
  </si>
  <si>
    <t>DOLAR $1.195</t>
  </si>
  <si>
    <t>PA-A-1-1019</t>
  </si>
  <si>
    <t>Nº 1770 Vto.19/08/2025 BANCO SANTANDER RIO S.A.</t>
  </si>
  <si>
    <t>CHEQUE ELECTRONICO (587)</t>
  </si>
  <si>
    <t>FC-A-3-11717</t>
  </si>
  <si>
    <t>DOLAR $1.205</t>
  </si>
  <si>
    <t>PA-A-1-1024</t>
  </si>
  <si>
    <t>Nº 30143626 Vto.26/06/2025 Cta. 19094 BANCO MUNICIPAL DE ROSARIO</t>
  </si>
  <si>
    <t>CP</t>
  </si>
  <si>
    <t>CHEQUE ELECTRONICO (17)</t>
  </si>
  <si>
    <t>FC-A-3-11722</t>
  </si>
  <si>
    <t>FC-A-3-11725</t>
  </si>
  <si>
    <t>CLIENTE</t>
  </si>
  <si>
    <t>CANTIDAD</t>
  </si>
  <si>
    <t>PRECIO</t>
  </si>
  <si>
    <t>CONTADO</t>
  </si>
  <si>
    <t>CTA. CTE.</t>
  </si>
  <si>
    <t>TIPO</t>
  </si>
  <si>
    <t>FC-A-3-11733</t>
  </si>
  <si>
    <t>Emprendimientos</t>
  </si>
  <si>
    <t>N</t>
  </si>
  <si>
    <t>FC-A-3-11744</t>
  </si>
  <si>
    <t>FC-A-3-11761</t>
  </si>
  <si>
    <t>FC-A-3-11768</t>
  </si>
  <si>
    <t>FC-A-3-11780</t>
  </si>
  <si>
    <t>FC-A-3-11785</t>
  </si>
  <si>
    <t>(000035) NEGRO S/MATE (16356640)</t>
  </si>
  <si>
    <t>FC-A-3-11727</t>
  </si>
  <si>
    <t>FC-A-3-11738</t>
  </si>
  <si>
    <t>FC-A-3-11742</t>
  </si>
  <si>
    <t>FC-A-3-11750</t>
  </si>
  <si>
    <t>FC-A-3-11757</t>
  </si>
  <si>
    <t>FC-A-3-11763</t>
  </si>
  <si>
    <t>FC-A-3-11772</t>
  </si>
  <si>
    <t>FC-A-3-11782</t>
  </si>
  <si>
    <t>FC-A-3-11794</t>
  </si>
  <si>
    <t>FC-A-3-11805</t>
  </si>
  <si>
    <t>FC-A-3-11808</t>
  </si>
  <si>
    <t>(000036) BLANCO POLAR (16466355)</t>
  </si>
  <si>
    <t>(000037) NEGRO MATE GLASS (16344921)</t>
  </si>
  <si>
    <t>(000038) PRODUCTO CHEMISA 401</t>
  </si>
  <si>
    <t>(000039) FOSFODESENGRASE 621</t>
  </si>
  <si>
    <t>000248</t>
  </si>
  <si>
    <t>(000248) NARANJA XP 06-0009</t>
  </si>
  <si>
    <t>(000340) GRIS STARA (17720368)</t>
  </si>
  <si>
    <t>000586</t>
  </si>
  <si>
    <t>(000595) NEGRO BRILLANTE ECONOMICO (16356942)</t>
  </si>
  <si>
    <t>000691</t>
  </si>
  <si>
    <t>(000691) BEIGE ESCOLAR (16356590)</t>
  </si>
  <si>
    <t>FC-A-3-11816</t>
  </si>
  <si>
    <t>FC-A-3-11844</t>
  </si>
  <si>
    <t>FC-A-3-11857</t>
  </si>
  <si>
    <t>FC-A-3-11860</t>
  </si>
  <si>
    <t>FC-A-3-11880</t>
  </si>
  <si>
    <t>FC-A-3-11839</t>
  </si>
  <si>
    <t>FC-A-3-11848</t>
  </si>
  <si>
    <t>FC-A-3-11851</t>
  </si>
  <si>
    <t>FC-A-3-11866</t>
  </si>
  <si>
    <t>FC-A-3-11871</t>
  </si>
  <si>
    <t>FC-A-3-11831</t>
  </si>
  <si>
    <t>FC-A-3-11823</t>
  </si>
  <si>
    <t>FC-A-3-11883</t>
  </si>
  <si>
    <t>(000191) GRIS GRAFITO (17138217)</t>
  </si>
  <si>
    <t>FC-A-3-11835</t>
  </si>
  <si>
    <t>(000390) AMARILLO MAIZ (16275198)</t>
  </si>
  <si>
    <t>(000515) ALUMINIO BARA XP 10-0040 (16363909)</t>
  </si>
  <si>
    <t>FC-A-3-11852</t>
  </si>
  <si>
    <t>(000517) ROJO MAINERO (17388586)</t>
  </si>
  <si>
    <t>FC-A-3-11884</t>
  </si>
  <si>
    <t>FC-A-3-11887</t>
  </si>
  <si>
    <t>FC-A-3-11921</t>
  </si>
  <si>
    <t>FC-A-3-11932</t>
  </si>
  <si>
    <t>FC-A-3-11941</t>
  </si>
  <si>
    <t>FC-A-3-11950</t>
  </si>
  <si>
    <t>FC-A-3-11957</t>
  </si>
  <si>
    <t>FC-A-3-11953</t>
  </si>
  <si>
    <t>FC-A-3-11885</t>
  </si>
  <si>
    <t>FC-A-3-11896</t>
  </si>
  <si>
    <t>FC-A-3-11922</t>
  </si>
  <si>
    <t>FC-A-3-11925</t>
  </si>
  <si>
    <t>FC-A-3-11947</t>
  </si>
  <si>
    <t>FC-A-3-11914</t>
  </si>
  <si>
    <t>FC-A-3-11936</t>
  </si>
  <si>
    <t>FC-A-3-11954</t>
  </si>
  <si>
    <t>FC-A-3-11900</t>
  </si>
  <si>
    <t>FC-A-3-11920</t>
  </si>
  <si>
    <t>FC-A-3-11943</t>
  </si>
  <si>
    <t>(000203) ROD HOLDER KCI</t>
  </si>
  <si>
    <t>FC-A-3-11926</t>
  </si>
  <si>
    <t>FC-A-3-11948</t>
  </si>
  <si>
    <t>FC-A-3-11970</t>
  </si>
  <si>
    <t>FC-A-3-11978</t>
  </si>
  <si>
    <t>FC-A-3-12009</t>
  </si>
  <si>
    <t>FC-A-3-12015</t>
  </si>
  <si>
    <t>FC-A-3-12028</t>
  </si>
  <si>
    <t>FC-A-3-12039</t>
  </si>
  <si>
    <t>FC-A-3-12052</t>
  </si>
  <si>
    <t>FC-A-3-12065</t>
  </si>
  <si>
    <t>FC-A-3-11967</t>
  </si>
  <si>
    <t>FC-A-3-11976</t>
  </si>
  <si>
    <t>FC-A-3-11986</t>
  </si>
  <si>
    <t>FC-A-3-12001</t>
  </si>
  <si>
    <t>FC-A-3-12011</t>
  </si>
  <si>
    <t>FC-A-3-12020</t>
  </si>
  <si>
    <t>FC-A-3-12036</t>
  </si>
  <si>
    <t>FC-A-3-12048</t>
  </si>
  <si>
    <t>FC-A-3-12064</t>
  </si>
  <si>
    <t>FC-A-3-11998</t>
  </si>
  <si>
    <t>FC-A-3-12044</t>
  </si>
  <si>
    <t>(000147) ROJO INTERPERIE</t>
  </si>
  <si>
    <t>FC-A-3-12023</t>
  </si>
  <si>
    <t>(000206) GRIS LOBO SHELL (17218229)</t>
  </si>
  <si>
    <t>FC-A-3-12025</t>
  </si>
  <si>
    <t>FC-A-3-12007</t>
  </si>
  <si>
    <t>FC-A-3-12045</t>
  </si>
  <si>
    <t>FC-A-3-12103</t>
  </si>
  <si>
    <t>FC-A-3-12105</t>
  </si>
  <si>
    <t>FC-A-3-12113</t>
  </si>
  <si>
    <t>FC-A-3-12118</t>
  </si>
  <si>
    <t>FC-A-3-12075</t>
  </si>
  <si>
    <t>FC-A-3-12084</t>
  </si>
  <si>
    <t>FC-A-3-12098</t>
  </si>
  <si>
    <t>FC-A-3-12111</t>
  </si>
  <si>
    <t>FC-A-3-12073</t>
  </si>
  <si>
    <t>FC-A-3-12125</t>
  </si>
  <si>
    <t>(000190) ALUMINIO ESTRELLA XP</t>
  </si>
  <si>
    <t>FC-A-3-12097</t>
  </si>
  <si>
    <t>FC-A-3-12086</t>
  </si>
  <si>
    <t>CC-A-3-261</t>
  </si>
  <si>
    <t>D</t>
  </si>
  <si>
    <t>FC-A-3-12074</t>
  </si>
  <si>
    <t>FC-A-3-12085</t>
  </si>
  <si>
    <t>CC-A-3-259</t>
  </si>
  <si>
    <t>000792</t>
  </si>
  <si>
    <t>(000792) AMARILLO XP 05-02152</t>
  </si>
  <si>
    <t>FC-A-3-12148</t>
  </si>
  <si>
    <t>FC-A-3-12157</t>
  </si>
  <si>
    <t>FC-A-3-12166</t>
  </si>
  <si>
    <t>FC-A-3-12172</t>
  </si>
  <si>
    <t>FC-A-3-12176</t>
  </si>
  <si>
    <t>FC-A-3-12190</t>
  </si>
  <si>
    <t>FC-A-3-12204</t>
  </si>
  <si>
    <t>FC-A-3-12184</t>
  </si>
  <si>
    <t>FC-A-3-12194</t>
  </si>
  <si>
    <t>FC-A-3-12201</t>
  </si>
  <si>
    <t>FC-A-3-12220</t>
  </si>
  <si>
    <t>FC-A-3-12222</t>
  </si>
  <si>
    <t>FC-A-3-12170</t>
  </si>
  <si>
    <t>FC-A-3-12185</t>
  </si>
  <si>
    <t>000928</t>
  </si>
  <si>
    <t>(000928) FLUOR NARANJA 204A 2990 1426184</t>
  </si>
  <si>
    <t>000929</t>
  </si>
  <si>
    <t>(000929) FLUOR ROSA 204A 8320</t>
  </si>
  <si>
    <t>000930</t>
  </si>
  <si>
    <t>(000930) FLUOR VERDE WH 04-05481</t>
  </si>
  <si>
    <t xml:space="preserve">PRODUCTO CHEMISA 401 </t>
  </si>
  <si>
    <t>NARANJA XP 06-0009</t>
  </si>
  <si>
    <t>(000586) AZUL DANUBIO (16338172)</t>
  </si>
  <si>
    <t>AZUL DANUBIO (16338172)</t>
  </si>
  <si>
    <t>BEIGE ESCOLAR (16356590)</t>
  </si>
  <si>
    <t>AMARILLO XP 05-02152</t>
  </si>
  <si>
    <t>FLUOR NARANJA 204A 2990 1426184</t>
  </si>
  <si>
    <t>FLUOR ROSA 204A 8320</t>
  </si>
  <si>
    <t>FLUOR VERDE WH 04-05481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</si>
</sst>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_-;\-* #,##0.00_-;_-* &quot;-&quot;??_-;_-@_-"/>
    <numFmt numFmtId="164" formatCode="d/m/yy"/>
    <numFmt numFmtId="165" formatCode="_-[$$-2C0A]\ * #,##0_-;\-[$$-2C0A]\ * #,##0_-;_-[$$-2C0A]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 applyFill="1" applyBorder="1" applyAlignment="1" applyProtection="1"/>
    <xf numFmtId="164" fontId="2" fillId="0" borderId="0" xfId="0" applyNumberFormat="1" applyFont="1" applyFill="1" applyBorder="1" applyAlignment="1" applyProtection="1"/>
    <xf numFmtId="165" fontId="0" fillId="0" borderId="0" xfId="0" applyNumberFormat="1"/>
    <xf numFmtId="0" fontId="3" fillId="0" borderId="0" xfId="0" applyFont="1" applyFill="1" applyBorder="1" applyAlignment="1" applyProtection="1"/>
    <xf numFmtId="164" fontId="3" fillId="0" borderId="0" xfId="0" applyNumberFormat="1" applyFont="1" applyFill="1" applyBorder="1" applyAlignment="1" applyProtection="1"/>
    <xf numFmtId="43" fontId="0" fillId="0" borderId="0" xfId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B251"/>
  <sheetViews>
    <sheetView workbookViewId="0">
      <selection activeCell="T252" sqref="T252"/>
    </sheetView>
  </sheetViews>
  <sheetFormatPr baseColWidth="10" defaultRowHeight="14.4" x14ac:dyDescent="0.3"/>
  <cols>
    <col min="1" max="1" width="15.33203125" customWidth="1"/>
    <col min="9" max="9" width="26.33203125" customWidth="1"/>
    <col min="10" max="10" width="19" customWidth="1"/>
    <col min="11" max="11" width="18.109375" customWidth="1"/>
    <col min="12" max="12" width="68.109375" customWidth="1"/>
    <col min="14" max="14" width="15.88671875" customWidth="1"/>
    <col min="15" max="15" width="16.5546875" customWidth="1"/>
    <col min="17" max="17" width="19.33203125" customWidth="1"/>
    <col min="18" max="18" width="40.6640625" customWidth="1"/>
    <col min="20" max="20" width="17.109375" customWidth="1"/>
    <col min="22" max="22" width="20.21875" customWidth="1"/>
    <col min="27" max="27" width="77" customWidth="1"/>
    <col min="28" max="28" width="25.88671875" customWidth="1"/>
  </cols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6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4</v>
      </c>
      <c r="AA1" s="1" t="s">
        <v>11</v>
      </c>
    </row>
    <row r="2" spans="1:28" hidden="1" x14ac:dyDescent="0.3">
      <c r="A2" s="1" t="s">
        <v>24</v>
      </c>
      <c r="B2" s="2">
        <v>45660</v>
      </c>
      <c r="C2" s="1" t="s">
        <v>25</v>
      </c>
      <c r="D2" s="1">
        <v>1</v>
      </c>
      <c r="E2" s="1">
        <v>-977430.44</v>
      </c>
      <c r="F2" s="1">
        <v>0</v>
      </c>
      <c r="G2" s="1">
        <v>-169636.69</v>
      </c>
      <c r="H2" s="1">
        <v>-807793.75</v>
      </c>
      <c r="I2" s="1" t="s">
        <v>26</v>
      </c>
      <c r="J2" s="1"/>
      <c r="K2" s="1"/>
      <c r="L2" s="1"/>
      <c r="M2" s="1" t="s">
        <v>27</v>
      </c>
      <c r="N2" s="1"/>
      <c r="O2" s="1"/>
      <c r="P2" s="1" t="s">
        <v>28</v>
      </c>
      <c r="Q2" s="1" t="s">
        <v>29</v>
      </c>
      <c r="R2" s="1" t="s">
        <v>30</v>
      </c>
      <c r="S2" s="1">
        <v>50</v>
      </c>
      <c r="T2" s="1">
        <v>7367.5</v>
      </c>
      <c r="U2" s="1">
        <v>21</v>
      </c>
      <c r="V2" s="1">
        <v>8914.6749999999993</v>
      </c>
      <c r="W2" s="1">
        <v>0</v>
      </c>
      <c r="X2" s="1">
        <v>0</v>
      </c>
      <c r="Y2" s="1">
        <v>0</v>
      </c>
      <c r="Z2" s="1">
        <v>368375</v>
      </c>
      <c r="AA2" s="1"/>
      <c r="AB2" s="3">
        <f t="shared" ref="AB2:AB39" si="0">+T2*S2</f>
        <v>368375</v>
      </c>
    </row>
    <row r="3" spans="1:28" hidden="1" x14ac:dyDescent="0.3">
      <c r="A3" s="1" t="s">
        <v>24</v>
      </c>
      <c r="B3" s="2">
        <v>45660</v>
      </c>
      <c r="C3" s="1" t="s">
        <v>25</v>
      </c>
      <c r="D3" s="1">
        <v>1</v>
      </c>
      <c r="E3" s="1">
        <v>-977430.44</v>
      </c>
      <c r="F3" s="1">
        <v>0</v>
      </c>
      <c r="G3" s="1">
        <v>-169636.69</v>
      </c>
      <c r="H3" s="1">
        <v>-807793.75</v>
      </c>
      <c r="I3" s="1" t="s">
        <v>26</v>
      </c>
      <c r="J3" s="1"/>
      <c r="K3" s="1"/>
      <c r="L3" s="1"/>
      <c r="M3" s="1" t="s">
        <v>27</v>
      </c>
      <c r="N3" s="1"/>
      <c r="O3" s="1"/>
      <c r="P3" s="1" t="s">
        <v>28</v>
      </c>
      <c r="Q3" s="1" t="s">
        <v>31</v>
      </c>
      <c r="R3" s="1" t="s">
        <v>32</v>
      </c>
      <c r="S3" s="1">
        <v>25</v>
      </c>
      <c r="T3" s="1">
        <v>8420</v>
      </c>
      <c r="U3" s="1">
        <v>21</v>
      </c>
      <c r="V3" s="1">
        <v>10188.200000000001</v>
      </c>
      <c r="W3" s="1">
        <v>0</v>
      </c>
      <c r="X3" s="1">
        <v>0</v>
      </c>
      <c r="Y3" s="1">
        <v>0</v>
      </c>
      <c r="Z3" s="1">
        <v>210500</v>
      </c>
      <c r="AA3" s="1"/>
      <c r="AB3" s="3">
        <f t="shared" si="0"/>
        <v>210500</v>
      </c>
    </row>
    <row r="4" spans="1:28" hidden="1" x14ac:dyDescent="0.3">
      <c r="A4" s="1" t="s">
        <v>24</v>
      </c>
      <c r="B4" s="2">
        <v>45660</v>
      </c>
      <c r="C4" s="1" t="s">
        <v>25</v>
      </c>
      <c r="D4" s="1">
        <v>1</v>
      </c>
      <c r="E4" s="1">
        <v>-977430.44</v>
      </c>
      <c r="F4" s="1">
        <v>0</v>
      </c>
      <c r="G4" s="1">
        <v>-169636.69</v>
      </c>
      <c r="H4" s="1">
        <v>-807793.75</v>
      </c>
      <c r="I4" s="1" t="s">
        <v>26</v>
      </c>
      <c r="J4" s="1"/>
      <c r="K4" s="1"/>
      <c r="L4" s="1"/>
      <c r="M4" s="1" t="s">
        <v>27</v>
      </c>
      <c r="N4" s="1"/>
      <c r="O4" s="1"/>
      <c r="P4" s="1" t="s">
        <v>28</v>
      </c>
      <c r="Q4" s="1" t="s">
        <v>33</v>
      </c>
      <c r="R4" s="1" t="s">
        <v>34</v>
      </c>
      <c r="S4" s="1">
        <v>25</v>
      </c>
      <c r="T4" s="1">
        <v>9156.75</v>
      </c>
      <c r="U4" s="1">
        <v>21</v>
      </c>
      <c r="V4" s="1">
        <v>11079.6675</v>
      </c>
      <c r="W4" s="1">
        <v>0</v>
      </c>
      <c r="X4" s="1">
        <v>0</v>
      </c>
      <c r="Y4" s="1">
        <v>0</v>
      </c>
      <c r="Z4" s="1">
        <v>228918.75</v>
      </c>
      <c r="AA4" s="1"/>
      <c r="AB4" s="3">
        <f t="shared" si="0"/>
        <v>228918.75</v>
      </c>
    </row>
    <row r="5" spans="1:28" x14ac:dyDescent="0.3">
      <c r="A5" s="1" t="s">
        <v>35</v>
      </c>
      <c r="B5" s="2">
        <v>45660</v>
      </c>
      <c r="C5" s="1" t="s">
        <v>25</v>
      </c>
      <c r="D5" s="1">
        <v>1</v>
      </c>
      <c r="E5" s="1">
        <v>1277484</v>
      </c>
      <c r="F5" s="1">
        <v>0</v>
      </c>
      <c r="G5" s="1">
        <v>0</v>
      </c>
      <c r="H5" s="1">
        <v>1277484</v>
      </c>
      <c r="I5" s="1" t="s">
        <v>26</v>
      </c>
      <c r="J5" s="1" t="s">
        <v>36</v>
      </c>
      <c r="K5" s="1"/>
      <c r="L5" s="1" t="s">
        <v>37</v>
      </c>
      <c r="M5" s="1" t="s">
        <v>27</v>
      </c>
      <c r="N5" s="1" t="s">
        <v>38</v>
      </c>
      <c r="O5" s="1"/>
      <c r="P5" s="1" t="s">
        <v>28</v>
      </c>
      <c r="Q5" s="1" t="s">
        <v>39</v>
      </c>
      <c r="R5" s="1" t="s">
        <v>40</v>
      </c>
      <c r="T5" s="1">
        <v>677484</v>
      </c>
      <c r="AA5" s="1" t="s">
        <v>37</v>
      </c>
      <c r="AB5" s="3">
        <f t="shared" si="0"/>
        <v>0</v>
      </c>
    </row>
    <row r="6" spans="1:28" x14ac:dyDescent="0.3">
      <c r="A6" s="1" t="s">
        <v>35</v>
      </c>
      <c r="B6" s="2">
        <v>45660</v>
      </c>
      <c r="C6" s="1" t="s">
        <v>25</v>
      </c>
      <c r="D6" s="1">
        <v>1</v>
      </c>
      <c r="E6" s="1">
        <v>1277484</v>
      </c>
      <c r="F6" s="1">
        <v>0</v>
      </c>
      <c r="G6" s="1">
        <v>0</v>
      </c>
      <c r="H6" s="1">
        <v>1277484</v>
      </c>
      <c r="I6" s="1" t="s">
        <v>26</v>
      </c>
      <c r="J6" s="1" t="s">
        <v>36</v>
      </c>
      <c r="K6" s="1"/>
      <c r="L6" s="1" t="s">
        <v>41</v>
      </c>
      <c r="M6" s="1" t="s">
        <v>27</v>
      </c>
      <c r="N6" s="1" t="s">
        <v>38</v>
      </c>
      <c r="O6" s="1"/>
      <c r="P6" s="1" t="s">
        <v>28</v>
      </c>
      <c r="Q6" s="1" t="s">
        <v>39</v>
      </c>
      <c r="R6" s="1" t="s">
        <v>42</v>
      </c>
      <c r="T6" s="1">
        <v>600000</v>
      </c>
      <c r="AA6" s="1" t="s">
        <v>41</v>
      </c>
      <c r="AB6" s="3">
        <f t="shared" si="0"/>
        <v>0</v>
      </c>
    </row>
    <row r="7" spans="1:28" hidden="1" x14ac:dyDescent="0.3">
      <c r="A7" s="1" t="s">
        <v>43</v>
      </c>
      <c r="B7" s="2">
        <v>45664</v>
      </c>
      <c r="C7" s="1" t="s">
        <v>25</v>
      </c>
      <c r="D7" s="1">
        <v>1</v>
      </c>
      <c r="E7" s="1">
        <v>-670188.75</v>
      </c>
      <c r="F7" s="1">
        <v>0</v>
      </c>
      <c r="G7" s="1">
        <v>-116313.75</v>
      </c>
      <c r="H7" s="1">
        <v>-553875</v>
      </c>
      <c r="I7" s="1" t="s">
        <v>26</v>
      </c>
      <c r="J7" s="1"/>
      <c r="K7" s="1"/>
      <c r="L7" s="1"/>
      <c r="M7" s="1" t="s">
        <v>27</v>
      </c>
      <c r="N7" s="1"/>
      <c r="O7" s="1"/>
      <c r="P7" s="1" t="s">
        <v>28</v>
      </c>
      <c r="Q7" s="1" t="s">
        <v>29</v>
      </c>
      <c r="R7" s="1" t="s">
        <v>30</v>
      </c>
      <c r="S7" s="1">
        <v>75</v>
      </c>
      <c r="T7" s="1">
        <v>7385</v>
      </c>
      <c r="U7" s="1">
        <v>21</v>
      </c>
      <c r="V7" s="1">
        <v>8935.85</v>
      </c>
      <c r="W7" s="1">
        <v>0</v>
      </c>
      <c r="X7" s="1">
        <v>0</v>
      </c>
      <c r="Y7" s="1">
        <v>0</v>
      </c>
      <c r="Z7" s="1">
        <v>553875</v>
      </c>
      <c r="AA7" s="1"/>
      <c r="AB7" s="3">
        <f t="shared" si="0"/>
        <v>553875</v>
      </c>
    </row>
    <row r="8" spans="1:28" hidden="1" x14ac:dyDescent="0.3">
      <c r="A8" s="1" t="s">
        <v>44</v>
      </c>
      <c r="B8" s="2">
        <v>45664</v>
      </c>
      <c r="C8" s="1" t="s">
        <v>25</v>
      </c>
      <c r="D8" s="1">
        <v>1</v>
      </c>
      <c r="E8" s="1">
        <v>-702102.5</v>
      </c>
      <c r="F8" s="1">
        <v>0</v>
      </c>
      <c r="G8" s="1">
        <v>-121852.5</v>
      </c>
      <c r="H8" s="1">
        <v>-580250</v>
      </c>
      <c r="I8" s="1" t="s">
        <v>26</v>
      </c>
      <c r="J8" s="1"/>
      <c r="K8" s="1"/>
      <c r="L8" s="1"/>
      <c r="M8" s="1" t="s">
        <v>27</v>
      </c>
      <c r="N8" s="1"/>
      <c r="O8" s="1"/>
      <c r="P8" s="1" t="s">
        <v>28</v>
      </c>
      <c r="Q8" s="1" t="s">
        <v>29</v>
      </c>
      <c r="R8" s="1" t="s">
        <v>30</v>
      </c>
      <c r="S8" s="1">
        <v>50</v>
      </c>
      <c r="T8" s="1">
        <v>7385</v>
      </c>
      <c r="U8" s="1">
        <v>21</v>
      </c>
      <c r="V8" s="1">
        <v>8935.85</v>
      </c>
      <c r="W8" s="1">
        <v>0</v>
      </c>
      <c r="X8" s="1">
        <v>0</v>
      </c>
      <c r="Y8" s="1">
        <v>0</v>
      </c>
      <c r="Z8" s="1">
        <v>369250</v>
      </c>
      <c r="AA8" s="1"/>
      <c r="AB8" s="3">
        <f t="shared" si="0"/>
        <v>369250</v>
      </c>
    </row>
    <row r="9" spans="1:28" hidden="1" x14ac:dyDescent="0.3">
      <c r="A9" s="1" t="s">
        <v>44</v>
      </c>
      <c r="B9" s="2">
        <v>45664</v>
      </c>
      <c r="C9" s="1" t="s">
        <v>25</v>
      </c>
      <c r="D9" s="1">
        <v>1</v>
      </c>
      <c r="E9" s="1">
        <v>-702102.5</v>
      </c>
      <c r="F9" s="1">
        <v>0</v>
      </c>
      <c r="G9" s="1">
        <v>-121852.5</v>
      </c>
      <c r="H9" s="1">
        <v>-580250</v>
      </c>
      <c r="I9" s="1" t="s">
        <v>26</v>
      </c>
      <c r="J9" s="1"/>
      <c r="K9" s="1"/>
      <c r="L9" s="1"/>
      <c r="M9" s="1" t="s">
        <v>27</v>
      </c>
      <c r="N9" s="1"/>
      <c r="O9" s="1"/>
      <c r="P9" s="1" t="s">
        <v>28</v>
      </c>
      <c r="Q9" s="1" t="s">
        <v>31</v>
      </c>
      <c r="R9" s="1" t="s">
        <v>32</v>
      </c>
      <c r="S9" s="1">
        <v>25</v>
      </c>
      <c r="T9" s="1">
        <v>8440</v>
      </c>
      <c r="U9" s="1">
        <v>21</v>
      </c>
      <c r="V9" s="1">
        <v>10212.4</v>
      </c>
      <c r="W9" s="1">
        <v>0</v>
      </c>
      <c r="X9" s="1">
        <v>0</v>
      </c>
      <c r="Y9" s="1">
        <v>0</v>
      </c>
      <c r="Z9" s="1">
        <v>211000</v>
      </c>
      <c r="AA9" s="1"/>
      <c r="AB9" s="3">
        <f t="shared" si="0"/>
        <v>211000</v>
      </c>
    </row>
    <row r="10" spans="1:28" hidden="1" x14ac:dyDescent="0.3">
      <c r="A10" s="1" t="s">
        <v>45</v>
      </c>
      <c r="B10" s="2">
        <v>45665</v>
      </c>
      <c r="C10" s="1" t="s">
        <v>25</v>
      </c>
      <c r="D10" s="1">
        <v>1</v>
      </c>
      <c r="E10" s="1">
        <v>-452432.31</v>
      </c>
      <c r="F10" s="1">
        <v>0</v>
      </c>
      <c r="G10" s="1">
        <v>-78521.31</v>
      </c>
      <c r="H10" s="1">
        <v>-373911</v>
      </c>
      <c r="I10" s="1" t="s">
        <v>26</v>
      </c>
      <c r="J10" s="1"/>
      <c r="K10" s="1"/>
      <c r="L10" s="1"/>
      <c r="M10" s="1" t="s">
        <v>27</v>
      </c>
      <c r="N10" s="1"/>
      <c r="O10" s="1"/>
      <c r="P10" s="1" t="s">
        <v>28</v>
      </c>
      <c r="Q10" s="1" t="s">
        <v>46</v>
      </c>
      <c r="R10" s="1" t="s">
        <v>47</v>
      </c>
      <c r="S10" s="1">
        <v>25</v>
      </c>
      <c r="T10" s="1">
        <v>6512.44</v>
      </c>
      <c r="U10" s="1">
        <v>21</v>
      </c>
      <c r="V10" s="1">
        <v>7880.0523999999996</v>
      </c>
      <c r="W10" s="1">
        <v>0</v>
      </c>
      <c r="X10" s="1">
        <v>0</v>
      </c>
      <c r="Y10" s="1">
        <v>0</v>
      </c>
      <c r="Z10" s="1">
        <v>162811</v>
      </c>
      <c r="AA10" s="1"/>
      <c r="AB10" s="3">
        <f t="shared" si="0"/>
        <v>162811</v>
      </c>
    </row>
    <row r="11" spans="1:28" hidden="1" x14ac:dyDescent="0.3">
      <c r="A11" s="1" t="s">
        <v>45</v>
      </c>
      <c r="B11" s="2">
        <v>45665</v>
      </c>
      <c r="C11" s="1" t="s">
        <v>25</v>
      </c>
      <c r="D11" s="1">
        <v>1</v>
      </c>
      <c r="E11" s="1">
        <v>-452432.31</v>
      </c>
      <c r="F11" s="1">
        <v>0</v>
      </c>
      <c r="G11" s="1">
        <v>-78521.31</v>
      </c>
      <c r="H11" s="1">
        <v>-373911</v>
      </c>
      <c r="I11" s="1" t="s">
        <v>26</v>
      </c>
      <c r="J11" s="1"/>
      <c r="K11" s="1"/>
      <c r="L11" s="1"/>
      <c r="M11" s="1" t="s">
        <v>27</v>
      </c>
      <c r="N11" s="1"/>
      <c r="O11" s="1"/>
      <c r="P11" s="1" t="s">
        <v>28</v>
      </c>
      <c r="Q11" s="1" t="s">
        <v>31</v>
      </c>
      <c r="R11" s="1" t="s">
        <v>32</v>
      </c>
      <c r="S11" s="1">
        <v>25</v>
      </c>
      <c r="T11" s="1">
        <v>8444</v>
      </c>
      <c r="U11" s="1">
        <v>21</v>
      </c>
      <c r="V11" s="1">
        <v>10217.24</v>
      </c>
      <c r="W11" s="1">
        <v>0</v>
      </c>
      <c r="X11" s="1">
        <v>0</v>
      </c>
      <c r="Y11" s="1">
        <v>0</v>
      </c>
      <c r="Z11" s="1">
        <v>211100</v>
      </c>
      <c r="AA11" s="1"/>
      <c r="AB11" s="3">
        <f t="shared" si="0"/>
        <v>211100</v>
      </c>
    </row>
    <row r="12" spans="1:28" hidden="1" x14ac:dyDescent="0.3">
      <c r="A12" s="1" t="s">
        <v>48</v>
      </c>
      <c r="B12" s="2">
        <v>45666</v>
      </c>
      <c r="C12" s="1" t="s">
        <v>25</v>
      </c>
      <c r="D12" s="1">
        <v>1</v>
      </c>
      <c r="E12" s="1">
        <v>-254274.24</v>
      </c>
      <c r="F12" s="1">
        <v>0</v>
      </c>
      <c r="G12" s="1">
        <v>-44130.239999999998</v>
      </c>
      <c r="H12" s="1">
        <v>-210144</v>
      </c>
      <c r="I12" s="1" t="s">
        <v>26</v>
      </c>
      <c r="J12" s="1"/>
      <c r="K12" s="1"/>
      <c r="L12" s="1"/>
      <c r="M12" s="1" t="s">
        <v>27</v>
      </c>
      <c r="N12" s="1"/>
      <c r="O12" s="1"/>
      <c r="P12" s="1" t="s">
        <v>28</v>
      </c>
      <c r="Q12" s="1" t="s">
        <v>49</v>
      </c>
      <c r="R12" s="1" t="s">
        <v>50</v>
      </c>
      <c r="S12" s="1">
        <v>20</v>
      </c>
      <c r="T12" s="1">
        <v>10507.2</v>
      </c>
      <c r="U12" s="1">
        <v>21</v>
      </c>
      <c r="V12" s="1">
        <v>12713.712</v>
      </c>
      <c r="W12" s="1">
        <v>0</v>
      </c>
      <c r="X12" s="1">
        <v>0</v>
      </c>
      <c r="Y12" s="1">
        <v>0</v>
      </c>
      <c r="Z12" s="1">
        <v>210144</v>
      </c>
      <c r="AA12" s="1"/>
      <c r="AB12" s="3">
        <f t="shared" si="0"/>
        <v>210144</v>
      </c>
    </row>
    <row r="13" spans="1:28" hidden="1" x14ac:dyDescent="0.3">
      <c r="A13" s="1" t="s">
        <v>51</v>
      </c>
      <c r="B13" s="2">
        <v>45670</v>
      </c>
      <c r="C13" s="1" t="s">
        <v>25</v>
      </c>
      <c r="D13" s="1">
        <v>1</v>
      </c>
      <c r="E13" s="1">
        <v>-254996.61</v>
      </c>
      <c r="F13" s="1">
        <v>0</v>
      </c>
      <c r="G13" s="1">
        <v>-44255.61</v>
      </c>
      <c r="H13" s="1">
        <v>-210741</v>
      </c>
      <c r="I13" s="1" t="s">
        <v>26</v>
      </c>
      <c r="J13" s="1"/>
      <c r="K13" s="1"/>
      <c r="L13" s="1"/>
      <c r="M13" s="1" t="s">
        <v>27</v>
      </c>
      <c r="N13" s="1"/>
      <c r="O13" s="1"/>
      <c r="P13" s="1" t="s">
        <v>28</v>
      </c>
      <c r="Q13" s="1" t="s">
        <v>49</v>
      </c>
      <c r="R13" s="1" t="s">
        <v>50</v>
      </c>
      <c r="S13" s="1">
        <v>20</v>
      </c>
      <c r="T13" s="1">
        <v>10537.05</v>
      </c>
      <c r="U13" s="1">
        <v>21</v>
      </c>
      <c r="V13" s="1">
        <v>12749.8305</v>
      </c>
      <c r="W13" s="1">
        <v>0</v>
      </c>
      <c r="X13" s="1">
        <v>0</v>
      </c>
      <c r="Y13" s="1">
        <v>0</v>
      </c>
      <c r="Z13" s="1">
        <v>210741</v>
      </c>
      <c r="AA13" s="1"/>
      <c r="AB13" s="3">
        <f t="shared" si="0"/>
        <v>210741</v>
      </c>
    </row>
    <row r="14" spans="1:28" x14ac:dyDescent="0.3">
      <c r="A14" s="1" t="s">
        <v>52</v>
      </c>
      <c r="B14" s="2">
        <v>45670</v>
      </c>
      <c r="C14" s="1" t="s">
        <v>25</v>
      </c>
      <c r="D14" s="1">
        <v>1</v>
      </c>
      <c r="E14" s="1">
        <v>1936956.84</v>
      </c>
      <c r="F14" s="1">
        <v>0</v>
      </c>
      <c r="G14" s="1">
        <v>0</v>
      </c>
      <c r="H14" s="1">
        <v>1936956.84</v>
      </c>
      <c r="I14" s="1" t="s">
        <v>26</v>
      </c>
      <c r="J14" s="1" t="s">
        <v>36</v>
      </c>
      <c r="K14" s="1"/>
      <c r="L14" s="1" t="s">
        <v>53</v>
      </c>
      <c r="M14" s="1" t="s">
        <v>27</v>
      </c>
      <c r="N14" s="1" t="s">
        <v>38</v>
      </c>
      <c r="O14" s="1"/>
      <c r="P14" s="1" t="s">
        <v>28</v>
      </c>
      <c r="Q14" s="1" t="s">
        <v>39</v>
      </c>
      <c r="R14" s="1" t="s">
        <v>54</v>
      </c>
      <c r="T14" s="1">
        <v>203280</v>
      </c>
      <c r="AA14" s="1" t="s">
        <v>53</v>
      </c>
      <c r="AB14" s="3">
        <f t="shared" si="0"/>
        <v>0</v>
      </c>
    </row>
    <row r="15" spans="1:28" x14ac:dyDescent="0.3">
      <c r="A15" s="1" t="s">
        <v>52</v>
      </c>
      <c r="B15" s="2">
        <v>45670</v>
      </c>
      <c r="C15" s="1" t="s">
        <v>25</v>
      </c>
      <c r="D15" s="1">
        <v>1</v>
      </c>
      <c r="E15" s="1">
        <v>1936956.84</v>
      </c>
      <c r="F15" s="1">
        <v>0</v>
      </c>
      <c r="G15" s="1">
        <v>0</v>
      </c>
      <c r="H15" s="1">
        <v>1936956.84</v>
      </c>
      <c r="I15" s="1" t="s">
        <v>26</v>
      </c>
      <c r="J15" s="1" t="s">
        <v>36</v>
      </c>
      <c r="K15" s="1"/>
      <c r="L15" s="1" t="s">
        <v>55</v>
      </c>
      <c r="M15" s="1" t="s">
        <v>27</v>
      </c>
      <c r="N15" s="1" t="s">
        <v>38</v>
      </c>
      <c r="O15" s="1"/>
      <c r="P15" s="1" t="s">
        <v>28</v>
      </c>
      <c r="Q15" s="1" t="s">
        <v>39</v>
      </c>
      <c r="R15" s="1" t="s">
        <v>56</v>
      </c>
      <c r="T15" s="1">
        <v>1733676.84</v>
      </c>
      <c r="AA15" s="1" t="s">
        <v>55</v>
      </c>
      <c r="AB15" s="3">
        <f t="shared" si="0"/>
        <v>0</v>
      </c>
    </row>
    <row r="16" spans="1:28" hidden="1" x14ac:dyDescent="0.3">
      <c r="A16" s="1" t="s">
        <v>57</v>
      </c>
      <c r="B16" s="2">
        <v>45672</v>
      </c>
      <c r="C16" s="1" t="s">
        <v>25</v>
      </c>
      <c r="D16" s="1">
        <v>1</v>
      </c>
      <c r="E16" s="1">
        <v>-1192867.49</v>
      </c>
      <c r="F16" s="1">
        <v>0</v>
      </c>
      <c r="G16" s="1">
        <v>-207026.59</v>
      </c>
      <c r="H16" s="1">
        <v>-985840.9</v>
      </c>
      <c r="I16" s="1" t="s">
        <v>26</v>
      </c>
      <c r="J16" s="1"/>
      <c r="K16" s="1"/>
      <c r="L16" s="1"/>
      <c r="M16" s="1" t="s">
        <v>27</v>
      </c>
      <c r="N16" s="1"/>
      <c r="O16" s="1"/>
      <c r="P16" s="1" t="s">
        <v>28</v>
      </c>
      <c r="Q16" s="1" t="s">
        <v>29</v>
      </c>
      <c r="R16" s="1" t="s">
        <v>30</v>
      </c>
      <c r="S16" s="1">
        <v>75</v>
      </c>
      <c r="T16" s="1">
        <v>7423.5</v>
      </c>
      <c r="U16" s="1">
        <v>21</v>
      </c>
      <c r="V16" s="1">
        <v>8982.4349999999995</v>
      </c>
      <c r="W16" s="1">
        <v>0</v>
      </c>
      <c r="X16" s="1">
        <v>0</v>
      </c>
      <c r="Y16" s="1">
        <v>0</v>
      </c>
      <c r="Z16" s="1">
        <v>556762.5</v>
      </c>
      <c r="AA16" s="1"/>
      <c r="AB16" s="3">
        <f t="shared" si="0"/>
        <v>556762.5</v>
      </c>
    </row>
    <row r="17" spans="1:28" hidden="1" x14ac:dyDescent="0.3">
      <c r="A17" s="1" t="s">
        <v>57</v>
      </c>
      <c r="B17" s="2">
        <v>45672</v>
      </c>
      <c r="C17" s="1" t="s">
        <v>25</v>
      </c>
      <c r="D17" s="1">
        <v>1</v>
      </c>
      <c r="E17" s="1">
        <v>-1192867.49</v>
      </c>
      <c r="F17" s="1">
        <v>0</v>
      </c>
      <c r="G17" s="1">
        <v>-207026.59</v>
      </c>
      <c r="H17" s="1">
        <v>-985840.9</v>
      </c>
      <c r="I17" s="1" t="s">
        <v>26</v>
      </c>
      <c r="J17" s="1"/>
      <c r="K17" s="1"/>
      <c r="L17" s="1"/>
      <c r="M17" s="1" t="s">
        <v>27</v>
      </c>
      <c r="N17" s="1"/>
      <c r="O17" s="1"/>
      <c r="P17" s="1" t="s">
        <v>28</v>
      </c>
      <c r="Q17" s="1" t="s">
        <v>49</v>
      </c>
      <c r="R17" s="1" t="s">
        <v>50</v>
      </c>
      <c r="S17" s="1">
        <v>20</v>
      </c>
      <c r="T17" s="1">
        <v>10551.98</v>
      </c>
      <c r="U17" s="1">
        <v>21</v>
      </c>
      <c r="V17" s="1">
        <v>12767.8958</v>
      </c>
      <c r="W17" s="1">
        <v>0</v>
      </c>
      <c r="X17" s="1">
        <v>0</v>
      </c>
      <c r="Y17" s="1">
        <v>0</v>
      </c>
      <c r="Z17" s="1">
        <v>211039.6</v>
      </c>
      <c r="AA17" s="1"/>
      <c r="AB17" s="3">
        <f t="shared" si="0"/>
        <v>211039.59999999998</v>
      </c>
    </row>
    <row r="18" spans="1:28" hidden="1" x14ac:dyDescent="0.3">
      <c r="A18" s="1" t="s">
        <v>57</v>
      </c>
      <c r="B18" s="2">
        <v>45672</v>
      </c>
      <c r="C18" s="1" t="s">
        <v>25</v>
      </c>
      <c r="D18" s="1">
        <v>1</v>
      </c>
      <c r="E18" s="1">
        <v>-1192867.49</v>
      </c>
      <c r="F18" s="1">
        <v>0</v>
      </c>
      <c r="G18" s="1">
        <v>-207026.59</v>
      </c>
      <c r="H18" s="1">
        <v>-985840.9</v>
      </c>
      <c r="I18" s="1" t="s">
        <v>26</v>
      </c>
      <c r="J18" s="1"/>
      <c r="K18" s="1"/>
      <c r="L18" s="1"/>
      <c r="M18" s="1" t="s">
        <v>27</v>
      </c>
      <c r="N18" s="1"/>
      <c r="O18" s="1"/>
      <c r="P18" s="1" t="s">
        <v>28</v>
      </c>
      <c r="Q18" s="1" t="s">
        <v>58</v>
      </c>
      <c r="R18" s="1" t="s">
        <v>59</v>
      </c>
      <c r="S18" s="1">
        <v>20</v>
      </c>
      <c r="T18" s="1">
        <v>10901.94</v>
      </c>
      <c r="U18" s="1">
        <v>21</v>
      </c>
      <c r="V18" s="1">
        <v>13191.347400000001</v>
      </c>
      <c r="W18" s="1">
        <v>0</v>
      </c>
      <c r="X18" s="1">
        <v>0</v>
      </c>
      <c r="Y18" s="1">
        <v>0</v>
      </c>
      <c r="Z18" s="1">
        <v>218038.8</v>
      </c>
      <c r="AA18" s="1"/>
      <c r="AB18" s="3">
        <f t="shared" si="0"/>
        <v>218038.80000000002</v>
      </c>
    </row>
    <row r="19" spans="1:28" hidden="1" x14ac:dyDescent="0.3">
      <c r="A19" s="1" t="s">
        <v>60</v>
      </c>
      <c r="B19" s="2">
        <v>45673</v>
      </c>
      <c r="C19" s="1" t="s">
        <v>25</v>
      </c>
      <c r="D19" s="1">
        <v>1</v>
      </c>
      <c r="E19" s="1">
        <v>-405554.19</v>
      </c>
      <c r="F19" s="1">
        <v>0</v>
      </c>
      <c r="G19" s="1">
        <v>-70385.440000000002</v>
      </c>
      <c r="H19" s="1">
        <v>-335168.75</v>
      </c>
      <c r="I19" s="1" t="s">
        <v>26</v>
      </c>
      <c r="J19" s="1"/>
      <c r="K19" s="1"/>
      <c r="L19" s="1"/>
      <c r="M19" s="1" t="s">
        <v>27</v>
      </c>
      <c r="N19" s="1"/>
      <c r="O19" s="1"/>
      <c r="P19" s="1" t="s">
        <v>28</v>
      </c>
      <c r="Q19" s="1" t="s">
        <v>46</v>
      </c>
      <c r="R19" s="1" t="s">
        <v>47</v>
      </c>
      <c r="S19" s="1">
        <v>25</v>
      </c>
      <c r="T19" s="1">
        <v>6549.46</v>
      </c>
      <c r="U19" s="1">
        <v>21</v>
      </c>
      <c r="V19" s="1">
        <v>7924.8465999999999</v>
      </c>
      <c r="W19" s="1">
        <v>0</v>
      </c>
      <c r="X19" s="1">
        <v>0</v>
      </c>
      <c r="Y19" s="1">
        <v>0</v>
      </c>
      <c r="Z19" s="1">
        <v>163736.5</v>
      </c>
      <c r="AA19" s="1"/>
      <c r="AB19" s="3">
        <f t="shared" si="0"/>
        <v>163736.5</v>
      </c>
    </row>
    <row r="20" spans="1:28" hidden="1" x14ac:dyDescent="0.3">
      <c r="A20" s="1" t="s">
        <v>60</v>
      </c>
      <c r="B20" s="2">
        <v>45673</v>
      </c>
      <c r="C20" s="1" t="s">
        <v>25</v>
      </c>
      <c r="D20" s="1">
        <v>1</v>
      </c>
      <c r="E20" s="1">
        <v>-405554.19</v>
      </c>
      <c r="F20" s="1">
        <v>0</v>
      </c>
      <c r="G20" s="1">
        <v>-70385.440000000002</v>
      </c>
      <c r="H20" s="1">
        <v>-335168.75</v>
      </c>
      <c r="I20" s="1" t="s">
        <v>26</v>
      </c>
      <c r="J20" s="1"/>
      <c r="K20" s="1"/>
      <c r="L20" s="1"/>
      <c r="M20" s="1" t="s">
        <v>27</v>
      </c>
      <c r="N20" s="1"/>
      <c r="O20" s="1"/>
      <c r="P20" s="1" t="s">
        <v>28</v>
      </c>
      <c r="Q20" s="1" t="s">
        <v>61</v>
      </c>
      <c r="R20" s="1" t="s">
        <v>62</v>
      </c>
      <c r="S20" s="1">
        <v>25</v>
      </c>
      <c r="T20" s="1">
        <v>6857.29</v>
      </c>
      <c r="U20" s="1">
        <v>21</v>
      </c>
      <c r="V20" s="1">
        <v>8297.3209000000006</v>
      </c>
      <c r="W20" s="1">
        <v>0</v>
      </c>
      <c r="X20" s="1">
        <v>0</v>
      </c>
      <c r="Y20" s="1">
        <v>0</v>
      </c>
      <c r="Z20" s="1">
        <v>171432.25</v>
      </c>
      <c r="AA20" s="1"/>
      <c r="AB20" s="3">
        <f t="shared" si="0"/>
        <v>171432.25</v>
      </c>
    </row>
    <row r="21" spans="1:28" hidden="1" x14ac:dyDescent="0.3">
      <c r="A21" s="1" t="s">
        <v>63</v>
      </c>
      <c r="B21" s="2">
        <v>45679</v>
      </c>
      <c r="C21" s="1" t="s">
        <v>25</v>
      </c>
      <c r="D21" s="1">
        <v>1</v>
      </c>
      <c r="E21" s="1">
        <v>-876548.5</v>
      </c>
      <c r="F21" s="1">
        <v>0</v>
      </c>
      <c r="G21" s="1">
        <v>-152128.25</v>
      </c>
      <c r="H21" s="1">
        <v>-724420.25</v>
      </c>
      <c r="I21" s="1" t="s">
        <v>26</v>
      </c>
      <c r="J21" s="1"/>
      <c r="K21" s="1"/>
      <c r="L21" s="1"/>
      <c r="M21" s="1" t="s">
        <v>27</v>
      </c>
      <c r="N21" s="1"/>
      <c r="O21" s="1"/>
      <c r="P21" s="1" t="s">
        <v>28</v>
      </c>
      <c r="Q21" s="1" t="s">
        <v>46</v>
      </c>
      <c r="R21" s="1" t="s">
        <v>47</v>
      </c>
      <c r="S21" s="1">
        <v>25</v>
      </c>
      <c r="T21" s="1">
        <v>6580.31</v>
      </c>
      <c r="U21" s="1">
        <v>21</v>
      </c>
      <c r="V21" s="1">
        <v>7962.1751000000004</v>
      </c>
      <c r="W21" s="1">
        <v>0</v>
      </c>
      <c r="X21" s="1">
        <v>0</v>
      </c>
      <c r="Y21" s="1">
        <v>0</v>
      </c>
      <c r="Z21" s="1">
        <v>164507.75</v>
      </c>
      <c r="AA21" s="1"/>
      <c r="AB21" s="3">
        <f t="shared" si="0"/>
        <v>164507.75</v>
      </c>
    </row>
    <row r="22" spans="1:28" hidden="1" x14ac:dyDescent="0.3">
      <c r="A22" s="1" t="s">
        <v>63</v>
      </c>
      <c r="B22" s="2">
        <v>45679</v>
      </c>
      <c r="C22" s="1" t="s">
        <v>25</v>
      </c>
      <c r="D22" s="1">
        <v>1</v>
      </c>
      <c r="E22" s="1">
        <v>-876548.5</v>
      </c>
      <c r="F22" s="1">
        <v>0</v>
      </c>
      <c r="G22" s="1">
        <v>-152128.25</v>
      </c>
      <c r="H22" s="1">
        <v>-724420.25</v>
      </c>
      <c r="I22" s="1" t="s">
        <v>26</v>
      </c>
      <c r="J22" s="1"/>
      <c r="K22" s="1"/>
      <c r="L22" s="1"/>
      <c r="M22" s="1" t="s">
        <v>27</v>
      </c>
      <c r="N22" s="1"/>
      <c r="O22" s="1"/>
      <c r="P22" s="1" t="s">
        <v>28</v>
      </c>
      <c r="Q22" s="1" t="s">
        <v>29</v>
      </c>
      <c r="R22" s="1" t="s">
        <v>30</v>
      </c>
      <c r="S22" s="1">
        <v>75</v>
      </c>
      <c r="T22" s="1">
        <v>7465.5</v>
      </c>
      <c r="U22" s="1">
        <v>21</v>
      </c>
      <c r="V22" s="1">
        <v>9033.2549999999992</v>
      </c>
      <c r="W22" s="1">
        <v>0</v>
      </c>
      <c r="X22" s="1">
        <v>0</v>
      </c>
      <c r="Y22" s="1">
        <v>0</v>
      </c>
      <c r="Z22" s="1">
        <v>559912.5</v>
      </c>
      <c r="AA22" s="1"/>
      <c r="AB22" s="3">
        <f t="shared" si="0"/>
        <v>559912.5</v>
      </c>
    </row>
    <row r="23" spans="1:28" x14ac:dyDescent="0.3">
      <c r="A23" s="1" t="s">
        <v>64</v>
      </c>
      <c r="B23" s="2">
        <v>45681</v>
      </c>
      <c r="C23" s="1" t="s">
        <v>25</v>
      </c>
      <c r="D23" s="1">
        <v>1</v>
      </c>
      <c r="E23" s="1">
        <v>2061485.19</v>
      </c>
      <c r="F23" s="1">
        <v>0</v>
      </c>
      <c r="G23" s="1">
        <v>0</v>
      </c>
      <c r="H23" s="1">
        <v>2061485.19</v>
      </c>
      <c r="I23" s="1" t="s">
        <v>26</v>
      </c>
      <c r="J23" s="1" t="s">
        <v>36</v>
      </c>
      <c r="K23" s="1"/>
      <c r="L23" s="1" t="s">
        <v>65</v>
      </c>
      <c r="M23" s="1" t="s">
        <v>27</v>
      </c>
      <c r="N23" s="1" t="s">
        <v>38</v>
      </c>
      <c r="O23" s="1"/>
      <c r="P23" s="1" t="s">
        <v>28</v>
      </c>
      <c r="Q23" s="1" t="s">
        <v>39</v>
      </c>
      <c r="R23" s="1" t="s">
        <v>66</v>
      </c>
      <c r="T23" s="1">
        <v>2061485.19</v>
      </c>
      <c r="AA23" s="1" t="s">
        <v>65</v>
      </c>
      <c r="AB23" s="3">
        <f t="shared" si="0"/>
        <v>0</v>
      </c>
    </row>
    <row r="24" spans="1:28" hidden="1" x14ac:dyDescent="0.3">
      <c r="A24" s="1" t="s">
        <v>67</v>
      </c>
      <c r="B24" s="2">
        <v>45684</v>
      </c>
      <c r="C24" s="1" t="s">
        <v>25</v>
      </c>
      <c r="D24" s="1">
        <v>1</v>
      </c>
      <c r="E24" s="1">
        <v>-1040742.05</v>
      </c>
      <c r="F24" s="1">
        <v>0</v>
      </c>
      <c r="G24" s="1">
        <v>-180624.65</v>
      </c>
      <c r="H24" s="1">
        <v>-860117.4</v>
      </c>
      <c r="I24" s="1" t="s">
        <v>26</v>
      </c>
      <c r="J24" s="1"/>
      <c r="K24" s="1"/>
      <c r="L24" s="1"/>
      <c r="M24" s="1" t="s">
        <v>27</v>
      </c>
      <c r="N24" s="1"/>
      <c r="O24" s="1"/>
      <c r="P24" s="1" t="s">
        <v>28</v>
      </c>
      <c r="Q24" s="1" t="s">
        <v>49</v>
      </c>
      <c r="R24" s="1" t="s">
        <v>50</v>
      </c>
      <c r="S24" s="1">
        <v>20</v>
      </c>
      <c r="T24" s="1">
        <v>10636.55</v>
      </c>
      <c r="U24" s="1">
        <v>21</v>
      </c>
      <c r="V24" s="1">
        <v>12870.2255</v>
      </c>
      <c r="W24" s="1">
        <v>0</v>
      </c>
      <c r="X24" s="1">
        <v>0</v>
      </c>
      <c r="Y24" s="1">
        <v>0</v>
      </c>
      <c r="Z24" s="1">
        <v>212731</v>
      </c>
      <c r="AA24" s="1"/>
      <c r="AB24" s="3">
        <f t="shared" si="0"/>
        <v>212731</v>
      </c>
    </row>
    <row r="25" spans="1:28" hidden="1" x14ac:dyDescent="0.3">
      <c r="A25" s="1" t="s">
        <v>67</v>
      </c>
      <c r="B25" s="2">
        <v>45684</v>
      </c>
      <c r="C25" s="1" t="s">
        <v>25</v>
      </c>
      <c r="D25" s="1">
        <v>1</v>
      </c>
      <c r="E25" s="1">
        <v>-1040742.05</v>
      </c>
      <c r="F25" s="1">
        <v>0</v>
      </c>
      <c r="G25" s="1">
        <v>-180624.65</v>
      </c>
      <c r="H25" s="1">
        <v>-860117.4</v>
      </c>
      <c r="I25" s="1" t="s">
        <v>26</v>
      </c>
      <c r="J25" s="1"/>
      <c r="K25" s="1"/>
      <c r="L25" s="1"/>
      <c r="M25" s="1" t="s">
        <v>27</v>
      </c>
      <c r="N25" s="1"/>
      <c r="O25" s="1"/>
      <c r="P25" s="1" t="s">
        <v>28</v>
      </c>
      <c r="Q25" s="1" t="s">
        <v>58</v>
      </c>
      <c r="R25" s="1" t="s">
        <v>59</v>
      </c>
      <c r="S25" s="1">
        <v>20</v>
      </c>
      <c r="T25" s="1">
        <v>10989.32</v>
      </c>
      <c r="U25" s="1">
        <v>21</v>
      </c>
      <c r="V25" s="1">
        <v>13297.0772</v>
      </c>
      <c r="W25" s="1">
        <v>0</v>
      </c>
      <c r="X25" s="1">
        <v>0</v>
      </c>
      <c r="Y25" s="1">
        <v>0</v>
      </c>
      <c r="Z25" s="1">
        <v>219786.4</v>
      </c>
      <c r="AA25" s="1"/>
      <c r="AB25" s="3">
        <f t="shared" si="0"/>
        <v>219786.4</v>
      </c>
    </row>
    <row r="26" spans="1:28" hidden="1" x14ac:dyDescent="0.3">
      <c r="A26" s="1" t="s">
        <v>67</v>
      </c>
      <c r="B26" s="2">
        <v>45684</v>
      </c>
      <c r="C26" s="1" t="s">
        <v>25</v>
      </c>
      <c r="D26" s="1">
        <v>1</v>
      </c>
      <c r="E26" s="1">
        <v>-1040742.05</v>
      </c>
      <c r="F26" s="1">
        <v>0</v>
      </c>
      <c r="G26" s="1">
        <v>-180624.65</v>
      </c>
      <c r="H26" s="1">
        <v>-860117.4</v>
      </c>
      <c r="I26" s="1" t="s">
        <v>26</v>
      </c>
      <c r="J26" s="1"/>
      <c r="K26" s="1"/>
      <c r="L26" s="1"/>
      <c r="M26" s="1" t="s">
        <v>27</v>
      </c>
      <c r="N26" s="1"/>
      <c r="O26" s="1"/>
      <c r="P26" s="1" t="s">
        <v>28</v>
      </c>
      <c r="Q26" s="1" t="s">
        <v>31</v>
      </c>
      <c r="R26" s="1" t="s">
        <v>32</v>
      </c>
      <c r="S26" s="1">
        <v>50</v>
      </c>
      <c r="T26" s="1">
        <v>8552</v>
      </c>
      <c r="U26" s="1">
        <v>21</v>
      </c>
      <c r="V26" s="1">
        <v>10347.92</v>
      </c>
      <c r="W26" s="1">
        <v>0</v>
      </c>
      <c r="X26" s="1">
        <v>0</v>
      </c>
      <c r="Y26" s="1">
        <v>0</v>
      </c>
      <c r="Z26" s="1">
        <v>427600</v>
      </c>
      <c r="AA26" s="1"/>
      <c r="AB26" s="3">
        <f t="shared" si="0"/>
        <v>427600</v>
      </c>
    </row>
    <row r="27" spans="1:28" hidden="1" x14ac:dyDescent="0.3">
      <c r="A27" s="1" t="s">
        <v>68</v>
      </c>
      <c r="B27" s="2">
        <v>45685</v>
      </c>
      <c r="C27" s="1" t="s">
        <v>25</v>
      </c>
      <c r="D27" s="1">
        <v>1</v>
      </c>
      <c r="E27" s="1">
        <v>-852559.95</v>
      </c>
      <c r="F27" s="1">
        <v>0</v>
      </c>
      <c r="G27" s="1">
        <v>-147964.95000000001</v>
      </c>
      <c r="H27" s="1">
        <v>-704595</v>
      </c>
      <c r="I27" s="1" t="s">
        <v>26</v>
      </c>
      <c r="J27" s="1"/>
      <c r="K27" s="1"/>
      <c r="L27" s="1"/>
      <c r="M27" s="1" t="s">
        <v>27</v>
      </c>
      <c r="N27" s="1"/>
      <c r="O27" s="1"/>
      <c r="P27" s="1" t="s">
        <v>28</v>
      </c>
      <c r="Q27" s="1" t="s">
        <v>46</v>
      </c>
      <c r="R27" s="1" t="s">
        <v>47</v>
      </c>
      <c r="S27" s="1">
        <v>50</v>
      </c>
      <c r="T27" s="1">
        <v>6601.9</v>
      </c>
      <c r="U27" s="1">
        <v>21</v>
      </c>
      <c r="V27" s="1">
        <v>7988.299</v>
      </c>
      <c r="W27" s="1">
        <v>0</v>
      </c>
      <c r="X27" s="1">
        <v>0</v>
      </c>
      <c r="Y27" s="1">
        <v>0</v>
      </c>
      <c r="Z27" s="1">
        <v>330095</v>
      </c>
      <c r="AA27" s="1"/>
      <c r="AB27" s="3">
        <f t="shared" si="0"/>
        <v>330095</v>
      </c>
    </row>
    <row r="28" spans="1:28" hidden="1" x14ac:dyDescent="0.3">
      <c r="A28" s="1" t="s">
        <v>68</v>
      </c>
      <c r="B28" s="2">
        <v>45685</v>
      </c>
      <c r="C28" s="1" t="s">
        <v>25</v>
      </c>
      <c r="D28" s="1">
        <v>1</v>
      </c>
      <c r="E28" s="1">
        <v>-852559.95</v>
      </c>
      <c r="F28" s="1">
        <v>0</v>
      </c>
      <c r="G28" s="1">
        <v>-147964.95000000001</v>
      </c>
      <c r="H28" s="1">
        <v>-704595</v>
      </c>
      <c r="I28" s="1" t="s">
        <v>26</v>
      </c>
      <c r="J28" s="1"/>
      <c r="K28" s="1"/>
      <c r="L28" s="1"/>
      <c r="M28" s="1" t="s">
        <v>27</v>
      </c>
      <c r="N28" s="1"/>
      <c r="O28" s="1"/>
      <c r="P28" s="1" t="s">
        <v>28</v>
      </c>
      <c r="Q28" s="1" t="s">
        <v>29</v>
      </c>
      <c r="R28" s="1" t="s">
        <v>30</v>
      </c>
      <c r="S28" s="1">
        <v>50</v>
      </c>
      <c r="T28" s="1">
        <v>7490</v>
      </c>
      <c r="U28" s="1">
        <v>21</v>
      </c>
      <c r="V28" s="1">
        <v>9062.9</v>
      </c>
      <c r="W28" s="1">
        <v>0</v>
      </c>
      <c r="X28" s="1">
        <v>0</v>
      </c>
      <c r="Y28" s="1">
        <v>0</v>
      </c>
      <c r="Z28" s="1">
        <v>374500</v>
      </c>
      <c r="AA28" s="1"/>
      <c r="AB28" s="3">
        <f t="shared" si="0"/>
        <v>374500</v>
      </c>
    </row>
    <row r="29" spans="1:28" hidden="1" x14ac:dyDescent="0.3">
      <c r="A29" s="1" t="s">
        <v>69</v>
      </c>
      <c r="B29" s="2">
        <v>45686</v>
      </c>
      <c r="C29" s="1" t="s">
        <v>25</v>
      </c>
      <c r="D29" s="1">
        <v>1</v>
      </c>
      <c r="E29" s="1">
        <v>-712417.75</v>
      </c>
      <c r="F29" s="1">
        <v>0</v>
      </c>
      <c r="G29" s="1">
        <v>-123642.75</v>
      </c>
      <c r="H29" s="1">
        <v>-588775</v>
      </c>
      <c r="I29" s="1" t="s">
        <v>26</v>
      </c>
      <c r="J29" s="1"/>
      <c r="K29" s="1"/>
      <c r="L29" s="1"/>
      <c r="M29" s="1" t="s">
        <v>27</v>
      </c>
      <c r="N29" s="1"/>
      <c r="O29" s="1"/>
      <c r="P29" s="1" t="s">
        <v>28</v>
      </c>
      <c r="Q29" s="1" t="s">
        <v>29</v>
      </c>
      <c r="R29" s="1" t="s">
        <v>30</v>
      </c>
      <c r="S29" s="1">
        <v>50</v>
      </c>
      <c r="T29" s="1">
        <v>7493.5</v>
      </c>
      <c r="U29" s="1">
        <v>21</v>
      </c>
      <c r="V29" s="1">
        <v>9067.1350000000002</v>
      </c>
      <c r="W29" s="1">
        <v>0</v>
      </c>
      <c r="X29" s="1">
        <v>0</v>
      </c>
      <c r="Y29" s="1">
        <v>0</v>
      </c>
      <c r="Z29" s="1">
        <v>374675</v>
      </c>
      <c r="AA29" s="1"/>
      <c r="AB29" s="3">
        <f t="shared" si="0"/>
        <v>374675</v>
      </c>
    </row>
    <row r="30" spans="1:28" hidden="1" x14ac:dyDescent="0.3">
      <c r="A30" s="1" t="s">
        <v>69</v>
      </c>
      <c r="B30" s="2">
        <v>45686</v>
      </c>
      <c r="C30" s="1" t="s">
        <v>25</v>
      </c>
      <c r="D30" s="1">
        <v>1</v>
      </c>
      <c r="E30" s="1">
        <v>-712417.75</v>
      </c>
      <c r="F30" s="1">
        <v>0</v>
      </c>
      <c r="G30" s="1">
        <v>-123642.75</v>
      </c>
      <c r="H30" s="1">
        <v>-588775</v>
      </c>
      <c r="I30" s="1" t="s">
        <v>26</v>
      </c>
      <c r="J30" s="1"/>
      <c r="K30" s="1"/>
      <c r="L30" s="1"/>
      <c r="M30" s="1" t="s">
        <v>27</v>
      </c>
      <c r="N30" s="1"/>
      <c r="O30" s="1"/>
      <c r="P30" s="1" t="s">
        <v>28</v>
      </c>
      <c r="Q30" s="1" t="s">
        <v>31</v>
      </c>
      <c r="R30" s="1" t="s">
        <v>32</v>
      </c>
      <c r="S30" s="1">
        <v>25</v>
      </c>
      <c r="T30" s="1">
        <v>8564</v>
      </c>
      <c r="U30" s="1">
        <v>21</v>
      </c>
      <c r="V30" s="1">
        <v>10362.44</v>
      </c>
      <c r="W30" s="1">
        <v>0</v>
      </c>
      <c r="X30" s="1">
        <v>0</v>
      </c>
      <c r="Y30" s="1">
        <v>0</v>
      </c>
      <c r="Z30" s="1">
        <v>214100</v>
      </c>
      <c r="AA30" s="1"/>
      <c r="AB30" s="3">
        <f t="shared" si="0"/>
        <v>214100</v>
      </c>
    </row>
    <row r="31" spans="1:28" x14ac:dyDescent="0.3">
      <c r="A31" s="1" t="s">
        <v>70</v>
      </c>
      <c r="B31" s="2">
        <v>45686</v>
      </c>
      <c r="C31" s="1" t="s">
        <v>25</v>
      </c>
      <c r="D31" s="1">
        <v>1</v>
      </c>
      <c r="E31" s="1">
        <v>2532458.38</v>
      </c>
      <c r="F31" s="1">
        <v>0</v>
      </c>
      <c r="G31" s="1">
        <v>0</v>
      </c>
      <c r="H31" s="1">
        <v>2532458.38</v>
      </c>
      <c r="I31" s="1" t="s">
        <v>26</v>
      </c>
      <c r="J31" s="1" t="s">
        <v>36</v>
      </c>
      <c r="K31" s="1"/>
      <c r="L31" s="1" t="s">
        <v>71</v>
      </c>
      <c r="M31" s="1" t="s">
        <v>27</v>
      </c>
      <c r="N31" s="1" t="s">
        <v>38</v>
      </c>
      <c r="O31" s="1"/>
      <c r="P31" s="1" t="s">
        <v>28</v>
      </c>
      <c r="Q31" s="1" t="s">
        <v>39</v>
      </c>
      <c r="R31" s="1" t="s">
        <v>72</v>
      </c>
      <c r="T31" s="1">
        <v>2532458.38</v>
      </c>
      <c r="AA31" s="1" t="s">
        <v>71</v>
      </c>
      <c r="AB31" s="3">
        <f t="shared" si="0"/>
        <v>0</v>
      </c>
    </row>
    <row r="32" spans="1:28" hidden="1" x14ac:dyDescent="0.3">
      <c r="A32" s="1" t="s">
        <v>73</v>
      </c>
      <c r="B32" s="2">
        <v>45687</v>
      </c>
      <c r="C32" s="1" t="s">
        <v>25</v>
      </c>
      <c r="D32" s="1">
        <v>1</v>
      </c>
      <c r="E32" s="1">
        <v>-257886.09</v>
      </c>
      <c r="F32" s="1">
        <v>0</v>
      </c>
      <c r="G32" s="1">
        <v>-44757.09</v>
      </c>
      <c r="H32" s="1">
        <v>-213129</v>
      </c>
      <c r="I32" s="1" t="s">
        <v>26</v>
      </c>
      <c r="J32" s="1"/>
      <c r="K32" s="1"/>
      <c r="L32" s="1"/>
      <c r="M32" s="1" t="s">
        <v>27</v>
      </c>
      <c r="N32" s="1"/>
      <c r="O32" s="1"/>
      <c r="P32" s="1" t="s">
        <v>28</v>
      </c>
      <c r="Q32" s="1" t="s">
        <v>49</v>
      </c>
      <c r="R32" s="1" t="s">
        <v>50</v>
      </c>
      <c r="S32" s="1">
        <v>20</v>
      </c>
      <c r="T32" s="1">
        <v>10656.45</v>
      </c>
      <c r="U32" s="1">
        <v>21</v>
      </c>
      <c r="V32" s="1">
        <v>12894.3045</v>
      </c>
      <c r="W32" s="1">
        <v>0</v>
      </c>
      <c r="X32" s="1">
        <v>0</v>
      </c>
      <c r="Y32" s="1">
        <v>0</v>
      </c>
      <c r="Z32" s="1">
        <v>213129</v>
      </c>
      <c r="AA32" s="1"/>
      <c r="AB32" s="3">
        <f t="shared" si="0"/>
        <v>213129</v>
      </c>
    </row>
    <row r="33" spans="1:28" hidden="1" x14ac:dyDescent="0.3">
      <c r="A33" s="1" t="s">
        <v>74</v>
      </c>
      <c r="B33" s="2">
        <v>45687</v>
      </c>
      <c r="C33" s="1" t="s">
        <v>25</v>
      </c>
      <c r="D33" s="1">
        <v>1</v>
      </c>
      <c r="E33" s="1">
        <v>-811369.25</v>
      </c>
      <c r="F33" s="1">
        <v>0</v>
      </c>
      <c r="G33" s="1">
        <v>-140816.15</v>
      </c>
      <c r="H33" s="1">
        <v>-670553.1</v>
      </c>
      <c r="I33" s="1" t="s">
        <v>26</v>
      </c>
      <c r="J33" s="1"/>
      <c r="K33" s="1"/>
      <c r="L33" s="1"/>
      <c r="M33" s="1" t="s">
        <v>27</v>
      </c>
      <c r="N33" s="1"/>
      <c r="O33" s="1"/>
      <c r="P33" s="1" t="s">
        <v>28</v>
      </c>
      <c r="Q33" s="1" t="s">
        <v>75</v>
      </c>
      <c r="R33" s="1" t="s">
        <v>76</v>
      </c>
      <c r="S33" s="1">
        <v>20</v>
      </c>
      <c r="T33" s="1">
        <v>19952.73</v>
      </c>
      <c r="U33" s="1">
        <v>21</v>
      </c>
      <c r="V33" s="1">
        <v>24142.8033</v>
      </c>
      <c r="W33" s="1">
        <v>0</v>
      </c>
      <c r="X33" s="1">
        <v>0</v>
      </c>
      <c r="Y33" s="1">
        <v>0</v>
      </c>
      <c r="Z33" s="1">
        <v>399054.6</v>
      </c>
      <c r="AA33" s="1"/>
      <c r="AB33" s="3">
        <f t="shared" si="0"/>
        <v>399054.6</v>
      </c>
    </row>
    <row r="34" spans="1:28" hidden="1" x14ac:dyDescent="0.3">
      <c r="A34" s="1" t="s">
        <v>74</v>
      </c>
      <c r="B34" s="2">
        <v>45687</v>
      </c>
      <c r="C34" s="1" t="s">
        <v>25</v>
      </c>
      <c r="D34" s="1">
        <v>1</v>
      </c>
      <c r="E34" s="1">
        <v>-811369.25</v>
      </c>
      <c r="F34" s="1">
        <v>0</v>
      </c>
      <c r="G34" s="1">
        <v>-140816.15</v>
      </c>
      <c r="H34" s="1">
        <v>-670553.1</v>
      </c>
      <c r="I34" s="1" t="s">
        <v>26</v>
      </c>
      <c r="J34" s="1"/>
      <c r="K34" s="1"/>
      <c r="L34" s="1"/>
      <c r="M34" s="1" t="s">
        <v>27</v>
      </c>
      <c r="N34" s="1"/>
      <c r="O34" s="1"/>
      <c r="P34" s="1" t="s">
        <v>28</v>
      </c>
      <c r="Q34" s="1" t="s">
        <v>77</v>
      </c>
      <c r="R34" s="1" t="s">
        <v>78</v>
      </c>
      <c r="S34" s="1">
        <v>25</v>
      </c>
      <c r="T34" s="1">
        <v>10859.94</v>
      </c>
      <c r="U34" s="1">
        <v>21</v>
      </c>
      <c r="V34" s="1">
        <v>13140.527400000001</v>
      </c>
      <c r="W34" s="1">
        <v>0</v>
      </c>
      <c r="X34" s="1">
        <v>0</v>
      </c>
      <c r="Y34" s="1">
        <v>0</v>
      </c>
      <c r="Z34" s="1">
        <v>271498.5</v>
      </c>
      <c r="AA34" s="1"/>
      <c r="AB34" s="3">
        <f t="shared" si="0"/>
        <v>271498.5</v>
      </c>
    </row>
    <row r="35" spans="1:28" hidden="1" x14ac:dyDescent="0.3">
      <c r="A35" s="1" t="s">
        <v>79</v>
      </c>
      <c r="B35" s="2">
        <v>45688</v>
      </c>
      <c r="C35" s="1" t="s">
        <v>25</v>
      </c>
      <c r="D35" s="1">
        <v>1</v>
      </c>
      <c r="E35" s="1">
        <v>-453992</v>
      </c>
      <c r="F35" s="1">
        <v>0</v>
      </c>
      <c r="G35" s="1">
        <v>-78792</v>
      </c>
      <c r="H35" s="1">
        <v>-375200</v>
      </c>
      <c r="I35" s="1" t="s">
        <v>26</v>
      </c>
      <c r="J35" s="1"/>
      <c r="K35" s="1"/>
      <c r="L35" s="1"/>
      <c r="M35" s="1" t="s">
        <v>27</v>
      </c>
      <c r="N35" s="1"/>
      <c r="O35" s="1"/>
      <c r="P35" s="1" t="s">
        <v>28</v>
      </c>
      <c r="Q35" s="1" t="s">
        <v>29</v>
      </c>
      <c r="R35" s="1" t="s">
        <v>30</v>
      </c>
      <c r="S35" s="1">
        <v>50</v>
      </c>
      <c r="T35" s="1">
        <v>7504</v>
      </c>
      <c r="U35" s="1">
        <v>21</v>
      </c>
      <c r="V35" s="1">
        <v>9079.84</v>
      </c>
      <c r="W35" s="1">
        <v>0</v>
      </c>
      <c r="X35" s="1">
        <v>0</v>
      </c>
      <c r="Y35" s="1">
        <v>0</v>
      </c>
      <c r="Z35" s="1">
        <v>375200</v>
      </c>
      <c r="AA35" s="1"/>
      <c r="AB35" s="3">
        <f t="shared" si="0"/>
        <v>375200</v>
      </c>
    </row>
    <row r="36" spans="1:28" hidden="1" x14ac:dyDescent="0.3">
      <c r="A36" s="1" t="s">
        <v>80</v>
      </c>
      <c r="B36" s="2">
        <v>45688</v>
      </c>
      <c r="C36" s="1" t="s">
        <v>25</v>
      </c>
      <c r="D36" s="1">
        <v>1</v>
      </c>
      <c r="E36" s="1">
        <v>-1330326.27</v>
      </c>
      <c r="F36" s="1">
        <v>0</v>
      </c>
      <c r="G36" s="1">
        <v>-230883.07</v>
      </c>
      <c r="H36" s="1">
        <v>-1099443.2</v>
      </c>
      <c r="I36" s="1" t="s">
        <v>26</v>
      </c>
      <c r="J36" s="1"/>
      <c r="K36" s="1"/>
      <c r="L36" s="1"/>
      <c r="M36" s="1" t="s">
        <v>27</v>
      </c>
      <c r="N36" s="1"/>
      <c r="O36" s="1"/>
      <c r="P36" s="1" t="s">
        <v>28</v>
      </c>
      <c r="Q36" s="1" t="s">
        <v>46</v>
      </c>
      <c r="R36" s="1" t="s">
        <v>47</v>
      </c>
      <c r="S36" s="1">
        <v>50</v>
      </c>
      <c r="T36" s="1">
        <v>6614.24</v>
      </c>
      <c r="U36" s="1">
        <v>21</v>
      </c>
      <c r="V36" s="1">
        <v>8003.2304000000004</v>
      </c>
      <c r="W36" s="1">
        <v>0</v>
      </c>
      <c r="X36" s="1">
        <v>0</v>
      </c>
      <c r="Y36" s="1">
        <v>0</v>
      </c>
      <c r="Z36" s="1">
        <v>330712</v>
      </c>
      <c r="AA36" s="1"/>
      <c r="AB36" s="3">
        <f t="shared" si="0"/>
        <v>330712</v>
      </c>
    </row>
    <row r="37" spans="1:28" hidden="1" x14ac:dyDescent="0.3">
      <c r="A37" s="1" t="s">
        <v>80</v>
      </c>
      <c r="B37" s="2">
        <v>45688</v>
      </c>
      <c r="C37" s="1" t="s">
        <v>25</v>
      </c>
      <c r="D37" s="1">
        <v>1</v>
      </c>
      <c r="E37" s="1">
        <v>-1330326.27</v>
      </c>
      <c r="F37" s="1">
        <v>0</v>
      </c>
      <c r="G37" s="1">
        <v>-230883.07</v>
      </c>
      <c r="H37" s="1">
        <v>-1099443.2</v>
      </c>
      <c r="I37" s="1" t="s">
        <v>26</v>
      </c>
      <c r="J37" s="1"/>
      <c r="K37" s="1"/>
      <c r="L37" s="1"/>
      <c r="M37" s="1" t="s">
        <v>27</v>
      </c>
      <c r="N37" s="1"/>
      <c r="O37" s="1"/>
      <c r="P37" s="1" t="s">
        <v>28</v>
      </c>
      <c r="Q37" s="1" t="s">
        <v>29</v>
      </c>
      <c r="R37" s="1" t="s">
        <v>30</v>
      </c>
      <c r="S37" s="1">
        <v>50</v>
      </c>
      <c r="T37" s="1">
        <v>7504</v>
      </c>
      <c r="U37" s="1">
        <v>21</v>
      </c>
      <c r="V37" s="1">
        <v>9079.84</v>
      </c>
      <c r="W37" s="1">
        <v>0</v>
      </c>
      <c r="X37" s="1">
        <v>0</v>
      </c>
      <c r="Y37" s="1">
        <v>0</v>
      </c>
      <c r="Z37" s="1">
        <v>375200</v>
      </c>
      <c r="AA37" s="1"/>
      <c r="AB37" s="3">
        <f t="shared" si="0"/>
        <v>375200</v>
      </c>
    </row>
    <row r="38" spans="1:28" hidden="1" x14ac:dyDescent="0.3">
      <c r="A38" s="1" t="s">
        <v>80</v>
      </c>
      <c r="B38" s="2">
        <v>45688</v>
      </c>
      <c r="C38" s="1" t="s">
        <v>25</v>
      </c>
      <c r="D38" s="1">
        <v>1</v>
      </c>
      <c r="E38" s="1">
        <v>-1330326.27</v>
      </c>
      <c r="F38" s="1">
        <v>0</v>
      </c>
      <c r="G38" s="1">
        <v>-230883.07</v>
      </c>
      <c r="H38" s="1">
        <v>-1099443.2</v>
      </c>
      <c r="I38" s="1" t="s">
        <v>26</v>
      </c>
      <c r="J38" s="1"/>
      <c r="K38" s="1"/>
      <c r="L38" s="1"/>
      <c r="M38" s="1" t="s">
        <v>27</v>
      </c>
      <c r="N38" s="1"/>
      <c r="O38" s="1"/>
      <c r="P38" s="1" t="s">
        <v>28</v>
      </c>
      <c r="Q38" s="1" t="s">
        <v>58</v>
      </c>
      <c r="R38" s="1" t="s">
        <v>59</v>
      </c>
      <c r="S38" s="1">
        <v>20</v>
      </c>
      <c r="T38" s="1">
        <v>11020.16</v>
      </c>
      <c r="U38" s="1">
        <v>21</v>
      </c>
      <c r="V38" s="1">
        <v>13334.393599999999</v>
      </c>
      <c r="W38" s="1">
        <v>0</v>
      </c>
      <c r="X38" s="1">
        <v>0</v>
      </c>
      <c r="Y38" s="1">
        <v>0</v>
      </c>
      <c r="Z38" s="1">
        <v>220403.20000000001</v>
      </c>
      <c r="AA38" s="1"/>
      <c r="AB38" s="3">
        <f t="shared" si="0"/>
        <v>220403.20000000001</v>
      </c>
    </row>
    <row r="39" spans="1:28" hidden="1" x14ac:dyDescent="0.3">
      <c r="A39" s="1" t="s">
        <v>80</v>
      </c>
      <c r="B39" s="2">
        <v>45688</v>
      </c>
      <c r="C39" s="1" t="s">
        <v>25</v>
      </c>
      <c r="D39" s="1">
        <v>1</v>
      </c>
      <c r="E39" s="1">
        <v>-1330326.27</v>
      </c>
      <c r="F39" s="1">
        <v>0</v>
      </c>
      <c r="G39" s="1">
        <v>-230883.07</v>
      </c>
      <c r="H39" s="1">
        <v>-1099443.2</v>
      </c>
      <c r="I39" s="1" t="s">
        <v>26</v>
      </c>
      <c r="J39" s="1"/>
      <c r="K39" s="1"/>
      <c r="L39" s="1"/>
      <c r="M39" s="1" t="s">
        <v>27</v>
      </c>
      <c r="N39" s="1"/>
      <c r="O39" s="1"/>
      <c r="P39" s="1" t="s">
        <v>28</v>
      </c>
      <c r="Q39" s="1" t="s">
        <v>61</v>
      </c>
      <c r="R39" s="1" t="s">
        <v>62</v>
      </c>
      <c r="S39" s="1">
        <v>25</v>
      </c>
      <c r="T39" s="1">
        <v>6925.12</v>
      </c>
      <c r="U39" s="1">
        <v>21</v>
      </c>
      <c r="V39" s="1">
        <v>8379.3952000000008</v>
      </c>
      <c r="W39" s="1">
        <v>0</v>
      </c>
      <c r="X39" s="1">
        <v>0</v>
      </c>
      <c r="Y39" s="1">
        <v>0</v>
      </c>
      <c r="Z39" s="1">
        <v>173128</v>
      </c>
      <c r="AA39" s="1"/>
      <c r="AB39" s="3">
        <f t="shared" si="0"/>
        <v>173128</v>
      </c>
    </row>
    <row r="40" spans="1:28" hidden="1" x14ac:dyDescent="0.3">
      <c r="A40" s="1" t="s">
        <v>81</v>
      </c>
      <c r="B40" s="2">
        <v>45693</v>
      </c>
      <c r="C40" s="1" t="s">
        <v>25</v>
      </c>
      <c r="D40" s="1">
        <v>1</v>
      </c>
      <c r="E40" s="1">
        <v>-975108.75</v>
      </c>
      <c r="F40" s="1">
        <v>0</v>
      </c>
      <c r="G40" s="1">
        <v>-169233.75</v>
      </c>
      <c r="H40" s="1">
        <v>-805875</v>
      </c>
      <c r="I40" s="1" t="s">
        <v>26</v>
      </c>
      <c r="J40" s="1"/>
      <c r="K40" s="1"/>
      <c r="L40" s="1"/>
      <c r="M40" s="1" t="s">
        <v>27</v>
      </c>
      <c r="N40" s="1"/>
      <c r="O40" s="1"/>
      <c r="P40" s="1" t="s">
        <v>28</v>
      </c>
      <c r="Q40" s="1" t="s">
        <v>29</v>
      </c>
      <c r="R40" s="1" t="s">
        <v>30</v>
      </c>
      <c r="S40" s="1">
        <v>100</v>
      </c>
      <c r="T40" s="1">
        <v>8058.75</v>
      </c>
      <c r="U40" s="1">
        <v>21</v>
      </c>
      <c r="V40" s="1">
        <v>9751.0874999999996</v>
      </c>
      <c r="W40" s="1">
        <v>0</v>
      </c>
      <c r="X40" s="1">
        <v>0</v>
      </c>
      <c r="Y40" s="1">
        <v>0</v>
      </c>
      <c r="Z40" s="1">
        <v>805875</v>
      </c>
      <c r="AA40" s="1"/>
    </row>
    <row r="41" spans="1:28" hidden="1" x14ac:dyDescent="0.3">
      <c r="A41" s="1" t="s">
        <v>82</v>
      </c>
      <c r="B41" s="2">
        <v>45698</v>
      </c>
      <c r="C41" s="1" t="s">
        <v>25</v>
      </c>
      <c r="D41" s="1">
        <v>1</v>
      </c>
      <c r="E41" s="1">
        <v>-1440935.16</v>
      </c>
      <c r="F41" s="1">
        <v>0</v>
      </c>
      <c r="G41" s="1">
        <v>-250079.66</v>
      </c>
      <c r="H41" s="1">
        <v>-1190855.5</v>
      </c>
      <c r="I41" s="1" t="s">
        <v>26</v>
      </c>
      <c r="J41" s="1"/>
      <c r="K41" s="1"/>
      <c r="L41" s="1"/>
      <c r="M41" s="1" t="s">
        <v>27</v>
      </c>
      <c r="N41" s="1"/>
      <c r="O41" s="1"/>
      <c r="P41" s="1" t="s">
        <v>28</v>
      </c>
      <c r="Q41" s="1" t="s">
        <v>29</v>
      </c>
      <c r="R41" s="1" t="s">
        <v>30</v>
      </c>
      <c r="S41" s="1">
        <v>100</v>
      </c>
      <c r="T41" s="1">
        <v>7530.25</v>
      </c>
      <c r="U41" s="1">
        <v>21</v>
      </c>
      <c r="V41" s="1">
        <v>9111.6025000000009</v>
      </c>
      <c r="W41" s="1">
        <v>0</v>
      </c>
      <c r="X41" s="1">
        <v>0</v>
      </c>
      <c r="Y41" s="1">
        <v>0</v>
      </c>
      <c r="Z41" s="1">
        <v>753025</v>
      </c>
      <c r="AA41" s="1"/>
    </row>
    <row r="42" spans="1:28" hidden="1" x14ac:dyDescent="0.3">
      <c r="A42" s="1" t="s">
        <v>82</v>
      </c>
      <c r="B42" s="2">
        <v>45698</v>
      </c>
      <c r="C42" s="1" t="s">
        <v>25</v>
      </c>
      <c r="D42" s="1">
        <v>1</v>
      </c>
      <c r="E42" s="1">
        <v>-1440935.16</v>
      </c>
      <c r="F42" s="1">
        <v>0</v>
      </c>
      <c r="G42" s="1">
        <v>-250079.66</v>
      </c>
      <c r="H42" s="1">
        <v>-1190855.5</v>
      </c>
      <c r="I42" s="1" t="s">
        <v>26</v>
      </c>
      <c r="J42" s="1"/>
      <c r="K42" s="1"/>
      <c r="L42" s="1"/>
      <c r="M42" s="1" t="s">
        <v>27</v>
      </c>
      <c r="N42" s="1"/>
      <c r="O42" s="1"/>
      <c r="P42" s="1" t="s">
        <v>28</v>
      </c>
      <c r="Q42" s="1" t="s">
        <v>83</v>
      </c>
      <c r="R42" s="1" t="s">
        <v>84</v>
      </c>
      <c r="S42" s="1">
        <v>50</v>
      </c>
      <c r="T42" s="1">
        <v>8756.61</v>
      </c>
      <c r="U42" s="1">
        <v>21</v>
      </c>
      <c r="V42" s="1">
        <v>10595.498100000001</v>
      </c>
      <c r="W42" s="1">
        <v>0</v>
      </c>
      <c r="X42" s="1">
        <v>0</v>
      </c>
      <c r="Y42" s="1">
        <v>0</v>
      </c>
      <c r="Z42" s="1">
        <v>437830.5</v>
      </c>
      <c r="AA42" s="1"/>
    </row>
    <row r="43" spans="1:28" hidden="1" x14ac:dyDescent="0.3">
      <c r="A43" s="1" t="s">
        <v>85</v>
      </c>
      <c r="B43" s="2">
        <v>45699</v>
      </c>
      <c r="C43" s="1" t="s">
        <v>25</v>
      </c>
      <c r="D43" s="1">
        <v>1</v>
      </c>
      <c r="E43" s="1">
        <v>-259090.04</v>
      </c>
      <c r="F43" s="1">
        <v>0</v>
      </c>
      <c r="G43" s="1">
        <v>-44966.04</v>
      </c>
      <c r="H43" s="1">
        <v>-214124</v>
      </c>
      <c r="I43" s="1" t="s">
        <v>26</v>
      </c>
      <c r="J43" s="1"/>
      <c r="K43" s="1"/>
      <c r="L43" s="1"/>
      <c r="M43" s="1" t="s">
        <v>27</v>
      </c>
      <c r="N43" s="1"/>
      <c r="O43" s="1"/>
      <c r="P43" s="1" t="s">
        <v>28</v>
      </c>
      <c r="Q43" s="1" t="s">
        <v>49</v>
      </c>
      <c r="R43" s="1" t="s">
        <v>50</v>
      </c>
      <c r="S43" s="1">
        <v>20</v>
      </c>
      <c r="T43" s="1">
        <v>10706.2</v>
      </c>
      <c r="U43" s="1">
        <v>21</v>
      </c>
      <c r="V43" s="1">
        <v>12954.502</v>
      </c>
      <c r="W43" s="1">
        <v>0</v>
      </c>
      <c r="X43" s="1">
        <v>0</v>
      </c>
      <c r="Y43" s="1">
        <v>0</v>
      </c>
      <c r="Z43" s="1">
        <v>214124</v>
      </c>
      <c r="AA43" s="1"/>
    </row>
    <row r="44" spans="1:28" hidden="1" x14ac:dyDescent="0.3">
      <c r="A44" s="1" t="s">
        <v>86</v>
      </c>
      <c r="B44" s="2">
        <v>45700</v>
      </c>
      <c r="C44" s="1" t="s">
        <v>25</v>
      </c>
      <c r="D44" s="1">
        <v>1</v>
      </c>
      <c r="E44" s="1">
        <v>-911372</v>
      </c>
      <c r="F44" s="1">
        <v>0</v>
      </c>
      <c r="G44" s="1">
        <v>-158172</v>
      </c>
      <c r="H44" s="1">
        <v>-753200</v>
      </c>
      <c r="I44" s="1" t="s">
        <v>26</v>
      </c>
      <c r="J44" s="1"/>
      <c r="K44" s="1"/>
      <c r="L44" s="1"/>
      <c r="M44" s="1" t="s">
        <v>27</v>
      </c>
      <c r="N44" s="1"/>
      <c r="O44" s="1"/>
      <c r="P44" s="1" t="s">
        <v>28</v>
      </c>
      <c r="Q44" s="1" t="s">
        <v>29</v>
      </c>
      <c r="R44" s="1" t="s">
        <v>30</v>
      </c>
      <c r="S44" s="1">
        <v>100</v>
      </c>
      <c r="T44" s="1">
        <v>7532</v>
      </c>
      <c r="U44" s="1">
        <v>21</v>
      </c>
      <c r="V44" s="1">
        <v>9113.7199999999993</v>
      </c>
      <c r="W44" s="1">
        <v>0</v>
      </c>
      <c r="X44" s="1">
        <v>0</v>
      </c>
      <c r="Y44" s="1">
        <v>0</v>
      </c>
      <c r="Z44" s="1">
        <v>753200</v>
      </c>
      <c r="AA44" s="1"/>
    </row>
    <row r="45" spans="1:28" hidden="1" x14ac:dyDescent="0.3">
      <c r="A45" s="1" t="s">
        <v>87</v>
      </c>
      <c r="B45" s="2">
        <v>45701</v>
      </c>
      <c r="C45" s="1" t="s">
        <v>25</v>
      </c>
      <c r="D45" s="1">
        <v>1</v>
      </c>
      <c r="E45" s="1">
        <v>-210315.55</v>
      </c>
      <c r="F45" s="1">
        <v>0</v>
      </c>
      <c r="G45" s="1">
        <v>-36501.050000000003</v>
      </c>
      <c r="H45" s="1">
        <v>-173814.5</v>
      </c>
      <c r="I45" s="1" t="s">
        <v>26</v>
      </c>
      <c r="J45" s="1"/>
      <c r="K45" s="1"/>
      <c r="L45" s="1"/>
      <c r="M45" s="1" t="s">
        <v>27</v>
      </c>
      <c r="N45" s="1"/>
      <c r="O45" s="1"/>
      <c r="P45" s="1" t="s">
        <v>28</v>
      </c>
      <c r="Q45" s="1" t="s">
        <v>61</v>
      </c>
      <c r="R45" s="1" t="s">
        <v>62</v>
      </c>
      <c r="S45" s="1">
        <v>25</v>
      </c>
      <c r="T45" s="1">
        <v>6952.58</v>
      </c>
      <c r="U45" s="1">
        <v>21</v>
      </c>
      <c r="V45" s="1">
        <v>8412.6218000000008</v>
      </c>
      <c r="W45" s="1">
        <v>0</v>
      </c>
      <c r="X45" s="1">
        <v>0</v>
      </c>
      <c r="Y45" s="1">
        <v>0</v>
      </c>
      <c r="Z45" s="1">
        <v>173814.5</v>
      </c>
      <c r="AA45" s="1"/>
    </row>
    <row r="46" spans="1:28" hidden="1" x14ac:dyDescent="0.3">
      <c r="A46" s="1" t="s">
        <v>88</v>
      </c>
      <c r="B46" s="2">
        <v>45706</v>
      </c>
      <c r="C46" s="1" t="s">
        <v>25</v>
      </c>
      <c r="D46" s="1">
        <v>1</v>
      </c>
      <c r="E46" s="1">
        <v>-913701.25</v>
      </c>
      <c r="F46" s="1">
        <v>0</v>
      </c>
      <c r="G46" s="1">
        <v>-158576.25</v>
      </c>
      <c r="H46" s="1">
        <v>-755125</v>
      </c>
      <c r="I46" s="1" t="s">
        <v>26</v>
      </c>
      <c r="J46" s="1"/>
      <c r="K46" s="1"/>
      <c r="L46" s="1"/>
      <c r="M46" s="1" t="s">
        <v>27</v>
      </c>
      <c r="N46" s="1"/>
      <c r="O46" s="1"/>
      <c r="P46" s="1" t="s">
        <v>28</v>
      </c>
      <c r="Q46" s="1" t="s">
        <v>29</v>
      </c>
      <c r="R46" s="1" t="s">
        <v>30</v>
      </c>
      <c r="S46" s="1">
        <v>100</v>
      </c>
      <c r="T46" s="1">
        <v>7551.25</v>
      </c>
      <c r="U46" s="1">
        <v>21</v>
      </c>
      <c r="V46" s="1">
        <v>9137.0125000000007</v>
      </c>
      <c r="W46" s="1">
        <v>0</v>
      </c>
      <c r="X46" s="1">
        <v>0</v>
      </c>
      <c r="Y46" s="1">
        <v>0</v>
      </c>
      <c r="Z46" s="1">
        <v>755125</v>
      </c>
      <c r="AA46" s="1"/>
    </row>
    <row r="47" spans="1:28" hidden="1" x14ac:dyDescent="0.3">
      <c r="A47" s="1" t="s">
        <v>89</v>
      </c>
      <c r="B47" s="2">
        <v>45709</v>
      </c>
      <c r="C47" s="1" t="s">
        <v>25</v>
      </c>
      <c r="D47" s="1">
        <v>1</v>
      </c>
      <c r="E47" s="1">
        <v>265687.57</v>
      </c>
      <c r="F47" s="1">
        <v>0</v>
      </c>
      <c r="G47" s="1">
        <v>46111.07</v>
      </c>
      <c r="H47" s="1">
        <v>219576.5</v>
      </c>
      <c r="I47" s="1" t="s">
        <v>26</v>
      </c>
      <c r="J47" s="1"/>
      <c r="K47" s="1" t="s">
        <v>90</v>
      </c>
      <c r="L47" s="1"/>
      <c r="M47" s="1" t="s">
        <v>27</v>
      </c>
      <c r="N47" s="1"/>
      <c r="O47" s="1"/>
      <c r="P47" s="1" t="s">
        <v>28</v>
      </c>
      <c r="Q47" s="1" t="s">
        <v>83</v>
      </c>
      <c r="R47" s="1" t="s">
        <v>84</v>
      </c>
      <c r="S47" s="1">
        <v>25</v>
      </c>
      <c r="T47" s="1">
        <v>8783.06</v>
      </c>
      <c r="U47" s="1">
        <v>21</v>
      </c>
      <c r="V47" s="1">
        <v>10627.5026</v>
      </c>
      <c r="W47" s="1">
        <v>0</v>
      </c>
      <c r="X47" s="1">
        <v>0</v>
      </c>
      <c r="Y47" s="1">
        <v>0</v>
      </c>
      <c r="Z47" s="1">
        <v>219576.5</v>
      </c>
      <c r="AA47" s="1"/>
    </row>
    <row r="48" spans="1:28" hidden="1" x14ac:dyDescent="0.3">
      <c r="A48" s="1" t="s">
        <v>91</v>
      </c>
      <c r="B48" s="2">
        <v>45708</v>
      </c>
      <c r="C48" s="1" t="s">
        <v>25</v>
      </c>
      <c r="D48" s="1">
        <v>1</v>
      </c>
      <c r="E48" s="1">
        <v>-913913</v>
      </c>
      <c r="F48" s="1">
        <v>0</v>
      </c>
      <c r="G48" s="1">
        <v>-158613</v>
      </c>
      <c r="H48" s="1">
        <v>-755300</v>
      </c>
      <c r="I48" s="1" t="s">
        <v>26</v>
      </c>
      <c r="J48" s="1"/>
      <c r="K48" s="1"/>
      <c r="L48" s="1"/>
      <c r="M48" s="1" t="s">
        <v>27</v>
      </c>
      <c r="N48" s="1"/>
      <c r="O48" s="1"/>
      <c r="P48" s="1" t="s">
        <v>28</v>
      </c>
      <c r="Q48" s="1" t="s">
        <v>29</v>
      </c>
      <c r="R48" s="1" t="s">
        <v>30</v>
      </c>
      <c r="S48" s="1">
        <v>100</v>
      </c>
      <c r="T48" s="1">
        <v>7553</v>
      </c>
      <c r="U48" s="1">
        <v>21</v>
      </c>
      <c r="V48" s="1">
        <v>9139.1299999999992</v>
      </c>
      <c r="W48" s="1">
        <v>0</v>
      </c>
      <c r="X48" s="1">
        <v>0</v>
      </c>
      <c r="Y48" s="1">
        <v>0</v>
      </c>
      <c r="Z48" s="1">
        <v>755300</v>
      </c>
      <c r="AA48" s="1"/>
    </row>
    <row r="49" spans="1:27" hidden="1" x14ac:dyDescent="0.3">
      <c r="A49" s="1" t="s">
        <v>92</v>
      </c>
      <c r="B49" s="2">
        <v>45708</v>
      </c>
      <c r="C49" s="1" t="s">
        <v>25</v>
      </c>
      <c r="D49" s="1">
        <v>1</v>
      </c>
      <c r="E49" s="1">
        <v>-265687.57</v>
      </c>
      <c r="F49" s="1">
        <v>0</v>
      </c>
      <c r="G49" s="1">
        <v>-46111.07</v>
      </c>
      <c r="H49" s="1">
        <v>-219576.5</v>
      </c>
      <c r="I49" s="1" t="s">
        <v>26</v>
      </c>
      <c r="J49" s="1"/>
      <c r="K49" s="1"/>
      <c r="L49" s="1"/>
      <c r="M49" s="1" t="s">
        <v>27</v>
      </c>
      <c r="N49" s="1"/>
      <c r="O49" s="1"/>
      <c r="P49" s="1" t="s">
        <v>28</v>
      </c>
      <c r="Q49" s="1" t="s">
        <v>83</v>
      </c>
      <c r="R49" s="1" t="s">
        <v>84</v>
      </c>
      <c r="S49" s="1">
        <v>25</v>
      </c>
      <c r="T49" s="1">
        <v>8783.06</v>
      </c>
      <c r="U49" s="1">
        <v>21</v>
      </c>
      <c r="V49" s="1">
        <v>10627.5026</v>
      </c>
      <c r="W49" s="1">
        <v>0</v>
      </c>
      <c r="X49" s="1">
        <v>0</v>
      </c>
      <c r="Y49" s="1">
        <v>0</v>
      </c>
      <c r="Z49" s="1">
        <v>219576.5</v>
      </c>
      <c r="AA49" s="1"/>
    </row>
    <row r="50" spans="1:27" hidden="1" x14ac:dyDescent="0.3">
      <c r="A50" s="1" t="s">
        <v>93</v>
      </c>
      <c r="B50" s="2">
        <v>45708</v>
      </c>
      <c r="C50" s="1" t="s">
        <v>25</v>
      </c>
      <c r="D50" s="1">
        <v>1</v>
      </c>
      <c r="E50" s="1">
        <v>-528241.71</v>
      </c>
      <c r="F50" s="1">
        <v>0</v>
      </c>
      <c r="G50" s="1">
        <v>-91678.31</v>
      </c>
      <c r="H50" s="1">
        <v>-436563.4</v>
      </c>
      <c r="I50" s="1" t="s">
        <v>26</v>
      </c>
      <c r="J50" s="1"/>
      <c r="K50" s="1"/>
      <c r="L50" s="1"/>
      <c r="M50" s="1" t="s">
        <v>27</v>
      </c>
      <c r="N50" s="1"/>
      <c r="O50" s="1"/>
      <c r="P50" s="1" t="s">
        <v>28</v>
      </c>
      <c r="Q50" s="1" t="s">
        <v>49</v>
      </c>
      <c r="R50" s="1" t="s">
        <v>50</v>
      </c>
      <c r="S50" s="1">
        <v>20</v>
      </c>
      <c r="T50" s="1">
        <v>10736.05</v>
      </c>
      <c r="U50" s="1">
        <v>21</v>
      </c>
      <c r="V50" s="1">
        <v>12990.620500000001</v>
      </c>
      <c r="W50" s="1">
        <v>0</v>
      </c>
      <c r="X50" s="1">
        <v>0</v>
      </c>
      <c r="Y50" s="1">
        <v>0</v>
      </c>
      <c r="Z50" s="1">
        <v>214721</v>
      </c>
      <c r="AA50" s="1"/>
    </row>
    <row r="51" spans="1:27" hidden="1" x14ac:dyDescent="0.3">
      <c r="A51" s="1" t="s">
        <v>93</v>
      </c>
      <c r="B51" s="2">
        <v>45708</v>
      </c>
      <c r="C51" s="1" t="s">
        <v>25</v>
      </c>
      <c r="D51" s="1">
        <v>1</v>
      </c>
      <c r="E51" s="1">
        <v>-528241.71</v>
      </c>
      <c r="F51" s="1">
        <v>0</v>
      </c>
      <c r="G51" s="1">
        <v>-91678.31</v>
      </c>
      <c r="H51" s="1">
        <v>-436563.4</v>
      </c>
      <c r="I51" s="1" t="s">
        <v>26</v>
      </c>
      <c r="J51" s="1"/>
      <c r="K51" s="1"/>
      <c r="L51" s="1"/>
      <c r="M51" s="1" t="s">
        <v>27</v>
      </c>
      <c r="N51" s="1"/>
      <c r="O51" s="1"/>
      <c r="P51" s="1" t="s">
        <v>28</v>
      </c>
      <c r="Q51" s="1" t="s">
        <v>58</v>
      </c>
      <c r="R51" s="1" t="s">
        <v>59</v>
      </c>
      <c r="S51" s="1">
        <v>20</v>
      </c>
      <c r="T51" s="1">
        <v>11092.12</v>
      </c>
      <c r="U51" s="1">
        <v>21</v>
      </c>
      <c r="V51" s="1">
        <v>13421.465200000001</v>
      </c>
      <c r="W51" s="1">
        <v>0</v>
      </c>
      <c r="X51" s="1">
        <v>0</v>
      </c>
      <c r="Y51" s="1">
        <v>0</v>
      </c>
      <c r="Z51" s="1">
        <v>221842.4</v>
      </c>
      <c r="AA51" s="1"/>
    </row>
    <row r="52" spans="1:27" x14ac:dyDescent="0.3">
      <c r="A52" s="1" t="s">
        <v>94</v>
      </c>
      <c r="B52" s="2">
        <v>45707</v>
      </c>
      <c r="C52" s="1" t="s">
        <v>25</v>
      </c>
      <c r="D52" s="1">
        <v>1</v>
      </c>
      <c r="E52" s="1">
        <v>3275494.34</v>
      </c>
      <c r="F52" s="1">
        <v>0</v>
      </c>
      <c r="G52" s="1">
        <v>0</v>
      </c>
      <c r="H52" s="1">
        <v>3275494.34</v>
      </c>
      <c r="I52" s="1" t="s">
        <v>26</v>
      </c>
      <c r="J52" s="1" t="s">
        <v>36</v>
      </c>
      <c r="K52" s="1"/>
      <c r="L52" s="1" t="s">
        <v>95</v>
      </c>
      <c r="M52" s="1" t="s">
        <v>27</v>
      </c>
      <c r="N52" s="1" t="s">
        <v>38</v>
      </c>
      <c r="O52" s="1"/>
      <c r="P52" s="1" t="s">
        <v>28</v>
      </c>
      <c r="Q52" s="1" t="s">
        <v>39</v>
      </c>
      <c r="R52" s="1" t="s">
        <v>96</v>
      </c>
      <c r="T52" s="1">
        <v>3275494.34</v>
      </c>
      <c r="AA52" s="1" t="s">
        <v>95</v>
      </c>
    </row>
    <row r="53" spans="1:27" hidden="1" x14ac:dyDescent="0.3">
      <c r="A53" s="1" t="s">
        <v>97</v>
      </c>
      <c r="B53" s="2">
        <v>45714</v>
      </c>
      <c r="C53" s="1" t="s">
        <v>25</v>
      </c>
      <c r="D53" s="1">
        <v>1</v>
      </c>
      <c r="E53" s="1">
        <v>-1671636.78</v>
      </c>
      <c r="F53" s="1">
        <v>0</v>
      </c>
      <c r="G53" s="1">
        <v>-290118.78000000003</v>
      </c>
      <c r="H53" s="1">
        <v>-1381518</v>
      </c>
      <c r="I53" s="1" t="s">
        <v>26</v>
      </c>
      <c r="J53" s="1"/>
      <c r="K53" s="1"/>
      <c r="L53" s="1"/>
      <c r="M53" s="1" t="s">
        <v>27</v>
      </c>
      <c r="N53" s="1"/>
      <c r="O53" s="1"/>
      <c r="P53" s="1" t="s">
        <v>28</v>
      </c>
      <c r="Q53" s="1" t="s">
        <v>29</v>
      </c>
      <c r="R53" s="1" t="s">
        <v>30</v>
      </c>
      <c r="S53" s="1">
        <v>100</v>
      </c>
      <c r="T53" s="1">
        <v>7567</v>
      </c>
      <c r="U53" s="1">
        <v>21</v>
      </c>
      <c r="V53" s="1">
        <v>9156.07</v>
      </c>
      <c r="W53" s="1">
        <v>0</v>
      </c>
      <c r="X53" s="1">
        <v>0</v>
      </c>
      <c r="Y53" s="1">
        <v>0</v>
      </c>
      <c r="Z53" s="1">
        <v>756700</v>
      </c>
      <c r="AA53" s="1"/>
    </row>
    <row r="54" spans="1:27" x14ac:dyDescent="0.3">
      <c r="A54" s="1" t="s">
        <v>98</v>
      </c>
      <c r="B54" s="2">
        <v>45705</v>
      </c>
      <c r="C54" s="1" t="s">
        <v>25</v>
      </c>
      <c r="D54" s="1">
        <v>1</v>
      </c>
      <c r="E54" s="1">
        <v>5973815.3399999999</v>
      </c>
      <c r="F54" s="1">
        <v>0</v>
      </c>
      <c r="G54" s="1">
        <v>0</v>
      </c>
      <c r="H54" s="1">
        <v>5973815.3399999999</v>
      </c>
      <c r="I54" s="1" t="s">
        <v>26</v>
      </c>
      <c r="J54" s="1" t="s">
        <v>36</v>
      </c>
      <c r="K54" s="1"/>
      <c r="L54" s="1" t="s">
        <v>99</v>
      </c>
      <c r="M54" s="1" t="s">
        <v>27</v>
      </c>
      <c r="N54" s="1" t="s">
        <v>38</v>
      </c>
      <c r="O54" s="1"/>
      <c r="P54" s="1" t="s">
        <v>28</v>
      </c>
      <c r="Q54" s="1" t="s">
        <v>39</v>
      </c>
      <c r="R54" s="1" t="s">
        <v>100</v>
      </c>
      <c r="T54" s="1">
        <v>2986907.67</v>
      </c>
      <c r="AA54" s="1" t="s">
        <v>99</v>
      </c>
    </row>
    <row r="55" spans="1:27" x14ac:dyDescent="0.3">
      <c r="A55" s="1" t="s">
        <v>98</v>
      </c>
      <c r="B55" s="2">
        <v>45705</v>
      </c>
      <c r="C55" s="1" t="s">
        <v>25</v>
      </c>
      <c r="D55" s="1">
        <v>1</v>
      </c>
      <c r="E55" s="1">
        <v>5973815.3399999999</v>
      </c>
      <c r="F55" s="1">
        <v>0</v>
      </c>
      <c r="G55" s="1">
        <v>0</v>
      </c>
      <c r="H55" s="1">
        <v>5973815.3399999999</v>
      </c>
      <c r="I55" s="1" t="s">
        <v>26</v>
      </c>
      <c r="J55" s="1" t="s">
        <v>36</v>
      </c>
      <c r="K55" s="1"/>
      <c r="L55" s="1" t="s">
        <v>101</v>
      </c>
      <c r="M55" s="1" t="s">
        <v>27</v>
      </c>
      <c r="N55" s="1" t="s">
        <v>38</v>
      </c>
      <c r="O55" s="1"/>
      <c r="P55" s="1" t="s">
        <v>28</v>
      </c>
      <c r="Q55" s="1" t="s">
        <v>39</v>
      </c>
      <c r="R55" s="1" t="s">
        <v>102</v>
      </c>
      <c r="T55" s="1">
        <v>2986907.67</v>
      </c>
      <c r="AA55" s="1" t="s">
        <v>101</v>
      </c>
    </row>
    <row r="56" spans="1:27" hidden="1" x14ac:dyDescent="0.3">
      <c r="A56" s="1" t="s">
        <v>97</v>
      </c>
      <c r="B56" s="2">
        <v>45714</v>
      </c>
      <c r="C56" s="1" t="s">
        <v>25</v>
      </c>
      <c r="D56" s="1">
        <v>1</v>
      </c>
      <c r="E56" s="1">
        <v>-1671636.78</v>
      </c>
      <c r="F56" s="1">
        <v>0</v>
      </c>
      <c r="G56" s="1">
        <v>-290118.78000000003</v>
      </c>
      <c r="H56" s="1">
        <v>-1381518</v>
      </c>
      <c r="I56" s="1" t="s">
        <v>26</v>
      </c>
      <c r="J56" s="1"/>
      <c r="K56" s="1"/>
      <c r="L56" s="1"/>
      <c r="M56" s="1" t="s">
        <v>27</v>
      </c>
      <c r="N56" s="1"/>
      <c r="O56" s="1"/>
      <c r="P56" s="1" t="s">
        <v>28</v>
      </c>
      <c r="Q56" s="1" t="s">
        <v>49</v>
      </c>
      <c r="R56" s="1" t="s">
        <v>50</v>
      </c>
      <c r="S56" s="1">
        <v>20</v>
      </c>
      <c r="T56" s="1">
        <v>10755.95</v>
      </c>
      <c r="U56" s="1">
        <v>21</v>
      </c>
      <c r="V56" s="1">
        <v>13014.699500000001</v>
      </c>
      <c r="W56" s="1">
        <v>0</v>
      </c>
      <c r="X56" s="1">
        <v>0</v>
      </c>
      <c r="Y56" s="1">
        <v>0</v>
      </c>
      <c r="Z56" s="1">
        <v>215119</v>
      </c>
      <c r="AA56" s="1"/>
    </row>
    <row r="57" spans="1:27" hidden="1" x14ac:dyDescent="0.3">
      <c r="A57" s="1" t="s">
        <v>97</v>
      </c>
      <c r="B57" s="2">
        <v>45714</v>
      </c>
      <c r="C57" s="1" t="s">
        <v>25</v>
      </c>
      <c r="D57" s="1">
        <v>1</v>
      </c>
      <c r="E57" s="1">
        <v>-1671636.78</v>
      </c>
      <c r="F57" s="1">
        <v>0</v>
      </c>
      <c r="G57" s="1">
        <v>-290118.78000000003</v>
      </c>
      <c r="H57" s="1">
        <v>-1381518</v>
      </c>
      <c r="I57" s="1" t="s">
        <v>26</v>
      </c>
      <c r="J57" s="1"/>
      <c r="K57" s="1"/>
      <c r="L57" s="1"/>
      <c r="M57" s="1" t="s">
        <v>27</v>
      </c>
      <c r="N57" s="1"/>
      <c r="O57" s="1"/>
      <c r="P57" s="1" t="s">
        <v>28</v>
      </c>
      <c r="Q57" s="1" t="s">
        <v>61</v>
      </c>
      <c r="R57" s="1" t="s">
        <v>62</v>
      </c>
      <c r="S57" s="1">
        <v>25</v>
      </c>
      <c r="T57" s="1">
        <v>6983.26</v>
      </c>
      <c r="U57" s="1">
        <v>21</v>
      </c>
      <c r="V57" s="1">
        <v>8449.7446</v>
      </c>
      <c r="W57" s="1">
        <v>0</v>
      </c>
      <c r="X57" s="1">
        <v>0</v>
      </c>
      <c r="Y57" s="1">
        <v>0</v>
      </c>
      <c r="Z57" s="1">
        <v>174581.5</v>
      </c>
      <c r="AA57" s="1"/>
    </row>
    <row r="58" spans="1:27" hidden="1" x14ac:dyDescent="0.3">
      <c r="A58" s="1" t="s">
        <v>97</v>
      </c>
      <c r="B58" s="2">
        <v>45714</v>
      </c>
      <c r="C58" s="1" t="s">
        <v>25</v>
      </c>
      <c r="D58" s="1">
        <v>1</v>
      </c>
      <c r="E58" s="1">
        <v>-1671636.78</v>
      </c>
      <c r="F58" s="1">
        <v>0</v>
      </c>
      <c r="G58" s="1">
        <v>-290118.78000000003</v>
      </c>
      <c r="H58" s="1">
        <v>-1381518</v>
      </c>
      <c r="I58" s="1" t="s">
        <v>26</v>
      </c>
      <c r="J58" s="1"/>
      <c r="K58" s="1"/>
      <c r="L58" s="1"/>
      <c r="M58" s="1" t="s">
        <v>27</v>
      </c>
      <c r="N58" s="1"/>
      <c r="O58" s="1"/>
      <c r="P58" s="1" t="s">
        <v>28</v>
      </c>
      <c r="Q58" s="1" t="s">
        <v>33</v>
      </c>
      <c r="R58" s="1" t="s">
        <v>34</v>
      </c>
      <c r="S58" s="1">
        <v>25</v>
      </c>
      <c r="T58" s="1">
        <v>9404.7000000000007</v>
      </c>
      <c r="U58" s="1">
        <v>21</v>
      </c>
      <c r="V58" s="1">
        <v>11379.687</v>
      </c>
      <c r="W58" s="1">
        <v>0</v>
      </c>
      <c r="X58" s="1">
        <v>0</v>
      </c>
      <c r="Y58" s="1">
        <v>0</v>
      </c>
      <c r="Z58" s="1">
        <v>235117.5</v>
      </c>
      <c r="AA58" s="1"/>
    </row>
    <row r="59" spans="1:27" hidden="1" x14ac:dyDescent="0.3">
      <c r="A59" s="1" t="s">
        <v>103</v>
      </c>
      <c r="B59" s="2">
        <v>45715</v>
      </c>
      <c r="C59" s="1" t="s">
        <v>25</v>
      </c>
      <c r="D59" s="1">
        <v>1</v>
      </c>
      <c r="E59" s="1">
        <v>-529343.30000000005</v>
      </c>
      <c r="F59" s="1">
        <v>0</v>
      </c>
      <c r="G59" s="1">
        <v>-91869.5</v>
      </c>
      <c r="H59" s="1">
        <v>-437473.8</v>
      </c>
      <c r="I59" s="1" t="s">
        <v>26</v>
      </c>
      <c r="J59" s="1"/>
      <c r="K59" s="1"/>
      <c r="L59" s="1"/>
      <c r="M59" s="1" t="s">
        <v>27</v>
      </c>
      <c r="N59" s="1"/>
      <c r="O59" s="1"/>
      <c r="P59" s="1" t="s">
        <v>28</v>
      </c>
      <c r="Q59" s="1" t="s">
        <v>49</v>
      </c>
      <c r="R59" s="1" t="s">
        <v>50</v>
      </c>
      <c r="S59" s="1">
        <v>20</v>
      </c>
      <c r="T59" s="1">
        <v>10758.44</v>
      </c>
      <c r="U59" s="1">
        <v>21</v>
      </c>
      <c r="V59" s="1">
        <v>13017.7124</v>
      </c>
      <c r="W59" s="1">
        <v>0</v>
      </c>
      <c r="X59" s="1">
        <v>0</v>
      </c>
      <c r="Y59" s="1">
        <v>0</v>
      </c>
      <c r="Z59" s="1">
        <v>215168.8</v>
      </c>
      <c r="AA59" s="1"/>
    </row>
    <row r="60" spans="1:27" hidden="1" x14ac:dyDescent="0.3">
      <c r="A60" s="1" t="s">
        <v>103</v>
      </c>
      <c r="B60" s="2">
        <v>45715</v>
      </c>
      <c r="C60" s="1" t="s">
        <v>25</v>
      </c>
      <c r="D60" s="1">
        <v>1</v>
      </c>
      <c r="E60" s="1">
        <v>-529343.30000000005</v>
      </c>
      <c r="F60" s="1">
        <v>0</v>
      </c>
      <c r="G60" s="1">
        <v>-91869.5</v>
      </c>
      <c r="H60" s="1">
        <v>-437473.8</v>
      </c>
      <c r="I60" s="1" t="s">
        <v>26</v>
      </c>
      <c r="J60" s="1"/>
      <c r="K60" s="1"/>
      <c r="L60" s="1"/>
      <c r="M60" s="1" t="s">
        <v>27</v>
      </c>
      <c r="N60" s="1"/>
      <c r="O60" s="1"/>
      <c r="P60" s="1" t="s">
        <v>28</v>
      </c>
      <c r="Q60" s="1" t="s">
        <v>58</v>
      </c>
      <c r="R60" s="1" t="s">
        <v>59</v>
      </c>
      <c r="S60" s="1">
        <v>20</v>
      </c>
      <c r="T60" s="1">
        <v>11115.25</v>
      </c>
      <c r="U60" s="1">
        <v>21</v>
      </c>
      <c r="V60" s="1">
        <v>13449.452499999999</v>
      </c>
      <c r="W60" s="1">
        <v>0</v>
      </c>
      <c r="X60" s="1">
        <v>0</v>
      </c>
      <c r="Y60" s="1">
        <v>0</v>
      </c>
      <c r="Z60" s="1">
        <v>222305</v>
      </c>
      <c r="AA60" s="1"/>
    </row>
    <row r="61" spans="1:27" hidden="1" x14ac:dyDescent="0.3">
      <c r="A61" s="1" t="s">
        <v>104</v>
      </c>
      <c r="B61" s="2">
        <v>45716</v>
      </c>
      <c r="C61" s="1" t="s">
        <v>25</v>
      </c>
      <c r="D61" s="1">
        <v>1</v>
      </c>
      <c r="E61" s="1">
        <v>-260474.52</v>
      </c>
      <c r="F61" s="1">
        <v>0</v>
      </c>
      <c r="G61" s="1">
        <v>-45206.32</v>
      </c>
      <c r="H61" s="1">
        <v>-215268.2</v>
      </c>
      <c r="I61" s="1" t="s">
        <v>26</v>
      </c>
      <c r="J61" s="1"/>
      <c r="K61" s="1"/>
      <c r="L61" s="1"/>
      <c r="M61" s="1" t="s">
        <v>27</v>
      </c>
      <c r="N61" s="1"/>
      <c r="O61" s="1"/>
      <c r="P61" s="1" t="s">
        <v>28</v>
      </c>
      <c r="Q61" s="1" t="s">
        <v>49</v>
      </c>
      <c r="R61" s="1" t="s">
        <v>50</v>
      </c>
      <c r="S61" s="1">
        <v>20</v>
      </c>
      <c r="T61" s="1">
        <v>10763.41</v>
      </c>
      <c r="U61" s="1">
        <v>21</v>
      </c>
      <c r="V61" s="1">
        <v>13023.7261</v>
      </c>
      <c r="W61" s="1">
        <v>0</v>
      </c>
      <c r="X61" s="1">
        <v>0</v>
      </c>
      <c r="Y61" s="1">
        <v>0</v>
      </c>
      <c r="Z61" s="1">
        <v>215268.2</v>
      </c>
      <c r="AA61" s="1"/>
    </row>
    <row r="62" spans="1:27" hidden="1" x14ac:dyDescent="0.3">
      <c r="A62" s="1" t="s">
        <v>105</v>
      </c>
      <c r="B62" s="2">
        <v>45721</v>
      </c>
      <c r="C62" s="1" t="s">
        <v>25</v>
      </c>
      <c r="D62" s="1">
        <v>1</v>
      </c>
      <c r="E62" s="1">
        <v>-459179.88</v>
      </c>
      <c r="F62" s="1">
        <v>0</v>
      </c>
      <c r="G62" s="1">
        <v>-79692.38</v>
      </c>
      <c r="H62" s="1">
        <v>-379487.5</v>
      </c>
      <c r="I62" s="1" t="s">
        <v>26</v>
      </c>
      <c r="J62" s="1"/>
      <c r="K62" s="1"/>
      <c r="L62" s="1"/>
      <c r="M62" s="1" t="s">
        <v>27</v>
      </c>
      <c r="N62" s="1"/>
      <c r="O62" s="1"/>
      <c r="P62" s="1" t="s">
        <v>28</v>
      </c>
      <c r="Q62" s="1" t="s">
        <v>29</v>
      </c>
      <c r="R62" s="1" t="s">
        <v>30</v>
      </c>
      <c r="S62" s="1">
        <v>50</v>
      </c>
      <c r="T62" s="1">
        <v>7589.75</v>
      </c>
      <c r="U62" s="1">
        <v>21</v>
      </c>
      <c r="V62" s="1">
        <v>9183.5974999999999</v>
      </c>
      <c r="W62" s="1">
        <v>0</v>
      </c>
      <c r="X62" s="1">
        <v>0</v>
      </c>
      <c r="Y62" s="1">
        <v>0</v>
      </c>
      <c r="Z62" s="1">
        <v>379487.5</v>
      </c>
      <c r="AA62" s="1"/>
    </row>
    <row r="63" spans="1:27" hidden="1" x14ac:dyDescent="0.3">
      <c r="A63" s="1" t="s">
        <v>106</v>
      </c>
      <c r="B63" s="2">
        <v>45722</v>
      </c>
      <c r="C63" s="1" t="s">
        <v>25</v>
      </c>
      <c r="D63" s="1">
        <v>1</v>
      </c>
      <c r="E63" s="1">
        <v>-1021714.2</v>
      </c>
      <c r="F63" s="1">
        <v>0</v>
      </c>
      <c r="G63" s="1">
        <v>-177322.3</v>
      </c>
      <c r="H63" s="1">
        <v>-844391.9</v>
      </c>
      <c r="I63" s="1" t="s">
        <v>26</v>
      </c>
      <c r="J63" s="1"/>
      <c r="K63" s="1"/>
      <c r="L63" s="1"/>
      <c r="M63" s="1" t="s">
        <v>27</v>
      </c>
      <c r="N63" s="1"/>
      <c r="O63" s="1"/>
      <c r="P63" s="1" t="s">
        <v>28</v>
      </c>
      <c r="Q63" s="1" t="s">
        <v>29</v>
      </c>
      <c r="R63" s="1" t="s">
        <v>30</v>
      </c>
      <c r="S63" s="1">
        <v>25</v>
      </c>
      <c r="T63" s="1">
        <v>7591.5</v>
      </c>
      <c r="U63" s="1">
        <v>21</v>
      </c>
      <c r="V63" s="1">
        <v>9185.7150000000001</v>
      </c>
      <c r="W63" s="1">
        <v>0</v>
      </c>
      <c r="X63" s="1">
        <v>0</v>
      </c>
      <c r="Y63" s="1">
        <v>0</v>
      </c>
      <c r="Z63" s="1">
        <v>189787.5</v>
      </c>
      <c r="AA63" s="1"/>
    </row>
    <row r="64" spans="1:27" hidden="1" x14ac:dyDescent="0.3">
      <c r="A64" s="1" t="s">
        <v>106</v>
      </c>
      <c r="B64" s="2">
        <v>45722</v>
      </c>
      <c r="C64" s="1" t="s">
        <v>25</v>
      </c>
      <c r="D64" s="1">
        <v>1</v>
      </c>
      <c r="E64" s="1">
        <v>-1021714.2</v>
      </c>
      <c r="F64" s="1">
        <v>0</v>
      </c>
      <c r="G64" s="1">
        <v>-177322.3</v>
      </c>
      <c r="H64" s="1">
        <v>-844391.9</v>
      </c>
      <c r="I64" s="1" t="s">
        <v>26</v>
      </c>
      <c r="J64" s="1"/>
      <c r="K64" s="1"/>
      <c r="L64" s="1"/>
      <c r="M64" s="1" t="s">
        <v>27</v>
      </c>
      <c r="N64" s="1"/>
      <c r="O64" s="1"/>
      <c r="P64" s="1" t="s">
        <v>28</v>
      </c>
      <c r="Q64" s="1" t="s">
        <v>49</v>
      </c>
      <c r="R64" s="1" t="s">
        <v>50</v>
      </c>
      <c r="S64" s="1">
        <v>40</v>
      </c>
      <c r="T64" s="1">
        <v>10790.78</v>
      </c>
      <c r="U64" s="1">
        <v>21</v>
      </c>
      <c r="V64" s="1">
        <v>13056.843800000001</v>
      </c>
      <c r="W64" s="1">
        <v>0</v>
      </c>
      <c r="X64" s="1">
        <v>0</v>
      </c>
      <c r="Y64" s="1">
        <v>0</v>
      </c>
      <c r="Z64" s="1">
        <v>431631.2</v>
      </c>
      <c r="AA64" s="1"/>
    </row>
    <row r="65" spans="1:27" hidden="1" x14ac:dyDescent="0.3">
      <c r="A65" s="1" t="s">
        <v>106</v>
      </c>
      <c r="B65" s="2">
        <v>45722</v>
      </c>
      <c r="C65" s="1" t="s">
        <v>25</v>
      </c>
      <c r="D65" s="1">
        <v>1</v>
      </c>
      <c r="E65" s="1">
        <v>-1021714.2</v>
      </c>
      <c r="F65" s="1">
        <v>0</v>
      </c>
      <c r="G65" s="1">
        <v>-177322.3</v>
      </c>
      <c r="H65" s="1">
        <v>-844391.9</v>
      </c>
      <c r="I65" s="1" t="s">
        <v>26</v>
      </c>
      <c r="J65" s="1"/>
      <c r="K65" s="1"/>
      <c r="L65" s="1"/>
      <c r="M65" s="1" t="s">
        <v>27</v>
      </c>
      <c r="N65" s="1"/>
      <c r="O65" s="1"/>
      <c r="P65" s="1" t="s">
        <v>28</v>
      </c>
      <c r="Q65" s="1" t="s">
        <v>58</v>
      </c>
      <c r="R65" s="1" t="s">
        <v>59</v>
      </c>
      <c r="S65" s="1">
        <v>20</v>
      </c>
      <c r="T65" s="1">
        <v>11148.66</v>
      </c>
      <c r="U65" s="1">
        <v>21</v>
      </c>
      <c r="V65" s="1">
        <v>13489.8786</v>
      </c>
      <c r="W65" s="1">
        <v>0</v>
      </c>
      <c r="X65" s="1">
        <v>0</v>
      </c>
      <c r="Y65" s="1">
        <v>0</v>
      </c>
      <c r="Z65" s="1">
        <v>222973.2</v>
      </c>
      <c r="AA65" s="1"/>
    </row>
    <row r="66" spans="1:27" hidden="1" x14ac:dyDescent="0.3">
      <c r="A66" s="1" t="s">
        <v>107</v>
      </c>
      <c r="B66" s="2">
        <v>45723</v>
      </c>
      <c r="C66" s="1" t="s">
        <v>25</v>
      </c>
      <c r="D66" s="1">
        <v>1</v>
      </c>
      <c r="E66" s="1">
        <v>-404827.88</v>
      </c>
      <c r="F66" s="1">
        <v>0</v>
      </c>
      <c r="G66" s="1">
        <v>-70259.38</v>
      </c>
      <c r="H66" s="1">
        <v>-334568.5</v>
      </c>
      <c r="I66" s="1" t="s">
        <v>26</v>
      </c>
      <c r="J66" s="1"/>
      <c r="K66" s="1"/>
      <c r="L66" s="1"/>
      <c r="M66" s="1" t="s">
        <v>27</v>
      </c>
      <c r="N66" s="1"/>
      <c r="O66" s="1"/>
      <c r="P66" s="1" t="s">
        <v>28</v>
      </c>
      <c r="Q66" s="1" t="s">
        <v>46</v>
      </c>
      <c r="R66" s="1" t="s">
        <v>47</v>
      </c>
      <c r="S66" s="1">
        <v>50</v>
      </c>
      <c r="T66" s="1">
        <v>6691.37</v>
      </c>
      <c r="U66" s="1">
        <v>21</v>
      </c>
      <c r="V66" s="1">
        <v>8096.5577000000003</v>
      </c>
      <c r="W66" s="1">
        <v>0</v>
      </c>
      <c r="X66" s="1">
        <v>0</v>
      </c>
      <c r="Y66" s="1">
        <v>0</v>
      </c>
      <c r="Z66" s="1">
        <v>334568.5</v>
      </c>
      <c r="AA66" s="1"/>
    </row>
    <row r="67" spans="1:27" hidden="1" x14ac:dyDescent="0.3">
      <c r="A67" s="1" t="s">
        <v>108</v>
      </c>
      <c r="B67" s="2">
        <v>45726</v>
      </c>
      <c r="C67" s="1" t="s">
        <v>25</v>
      </c>
      <c r="D67" s="1">
        <v>1</v>
      </c>
      <c r="E67" s="1">
        <v>-838041.77</v>
      </c>
      <c r="F67" s="1">
        <v>0</v>
      </c>
      <c r="G67" s="1">
        <v>-145445.26999999999</v>
      </c>
      <c r="H67" s="1">
        <v>-692596.5</v>
      </c>
      <c r="I67" s="1" t="s">
        <v>26</v>
      </c>
      <c r="J67" s="1"/>
      <c r="K67" s="1"/>
      <c r="L67" s="1"/>
      <c r="M67" s="1" t="s">
        <v>27</v>
      </c>
      <c r="N67" s="1"/>
      <c r="O67" s="1"/>
      <c r="P67" s="1" t="s">
        <v>28</v>
      </c>
      <c r="Q67" s="1" t="s">
        <v>46</v>
      </c>
      <c r="R67" s="1" t="s">
        <v>47</v>
      </c>
      <c r="S67" s="1">
        <v>75</v>
      </c>
      <c r="T67" s="1">
        <v>6700.62</v>
      </c>
      <c r="U67" s="1">
        <v>21</v>
      </c>
      <c r="V67" s="1">
        <v>8107.7502000000004</v>
      </c>
      <c r="W67" s="1">
        <v>0</v>
      </c>
      <c r="X67" s="1">
        <v>0</v>
      </c>
      <c r="Y67" s="1">
        <v>0</v>
      </c>
      <c r="Z67" s="1">
        <v>502546.5</v>
      </c>
      <c r="AA67" s="1"/>
    </row>
    <row r="68" spans="1:27" hidden="1" x14ac:dyDescent="0.3">
      <c r="A68" s="1" t="s">
        <v>108</v>
      </c>
      <c r="B68" s="2">
        <v>45726</v>
      </c>
      <c r="C68" s="1" t="s">
        <v>25</v>
      </c>
      <c r="D68" s="1">
        <v>1</v>
      </c>
      <c r="E68" s="1">
        <v>-838041.77</v>
      </c>
      <c r="F68" s="1">
        <v>0</v>
      </c>
      <c r="G68" s="1">
        <v>-145445.26999999999</v>
      </c>
      <c r="H68" s="1">
        <v>-692596.5</v>
      </c>
      <c r="I68" s="1" t="s">
        <v>26</v>
      </c>
      <c r="J68" s="1"/>
      <c r="K68" s="1"/>
      <c r="L68" s="1"/>
      <c r="M68" s="1" t="s">
        <v>27</v>
      </c>
      <c r="N68" s="1"/>
      <c r="O68" s="1"/>
      <c r="P68" s="1" t="s">
        <v>28</v>
      </c>
      <c r="Q68" s="1" t="s">
        <v>29</v>
      </c>
      <c r="R68" s="1" t="s">
        <v>30</v>
      </c>
      <c r="S68" s="1">
        <v>25</v>
      </c>
      <c r="T68" s="1">
        <v>7602</v>
      </c>
      <c r="U68" s="1">
        <v>21</v>
      </c>
      <c r="V68" s="1">
        <v>9198.42</v>
      </c>
      <c r="W68" s="1">
        <v>0</v>
      </c>
      <c r="X68" s="1">
        <v>0</v>
      </c>
      <c r="Y68" s="1">
        <v>0</v>
      </c>
      <c r="Z68" s="1">
        <v>190050</v>
      </c>
      <c r="AA68" s="1"/>
    </row>
    <row r="69" spans="1:27" hidden="1" x14ac:dyDescent="0.3">
      <c r="A69" s="1" t="s">
        <v>109</v>
      </c>
      <c r="B69" s="2">
        <v>45727</v>
      </c>
      <c r="C69" s="1" t="s">
        <v>25</v>
      </c>
      <c r="D69" s="1">
        <v>1</v>
      </c>
      <c r="E69" s="1">
        <v>-721059.33</v>
      </c>
      <c r="F69" s="1">
        <v>0</v>
      </c>
      <c r="G69" s="1">
        <v>-125142.53</v>
      </c>
      <c r="H69" s="1">
        <v>-595916.80000000005</v>
      </c>
      <c r="I69" s="1" t="s">
        <v>26</v>
      </c>
      <c r="J69" s="1"/>
      <c r="K69" s="1"/>
      <c r="L69" s="1"/>
      <c r="M69" s="1" t="s">
        <v>27</v>
      </c>
      <c r="N69" s="1"/>
      <c r="O69" s="1"/>
      <c r="P69" s="1" t="s">
        <v>28</v>
      </c>
      <c r="Q69" s="1" t="s">
        <v>75</v>
      </c>
      <c r="R69" s="1" t="s">
        <v>76</v>
      </c>
      <c r="S69" s="1">
        <v>20</v>
      </c>
      <c r="T69" s="1">
        <v>20236.84</v>
      </c>
      <c r="U69" s="1">
        <v>21</v>
      </c>
      <c r="V69" s="1">
        <v>24486.576400000002</v>
      </c>
      <c r="W69" s="1">
        <v>0</v>
      </c>
      <c r="X69" s="1">
        <v>0</v>
      </c>
      <c r="Y69" s="1">
        <v>0</v>
      </c>
      <c r="Z69" s="1">
        <v>404736.8</v>
      </c>
      <c r="AA69" s="1"/>
    </row>
    <row r="70" spans="1:27" hidden="1" x14ac:dyDescent="0.3">
      <c r="A70" s="1" t="s">
        <v>109</v>
      </c>
      <c r="B70" s="2">
        <v>45727</v>
      </c>
      <c r="C70" s="1" t="s">
        <v>25</v>
      </c>
      <c r="D70" s="1">
        <v>1</v>
      </c>
      <c r="E70" s="1">
        <v>-721059.33</v>
      </c>
      <c r="F70" s="1">
        <v>0</v>
      </c>
      <c r="G70" s="1">
        <v>-125142.53</v>
      </c>
      <c r="H70" s="1">
        <v>-595916.80000000005</v>
      </c>
      <c r="I70" s="1" t="s">
        <v>26</v>
      </c>
      <c r="J70" s="1"/>
      <c r="K70" s="1"/>
      <c r="L70" s="1"/>
      <c r="M70" s="1" t="s">
        <v>27</v>
      </c>
      <c r="N70" s="1"/>
      <c r="O70" s="1"/>
      <c r="P70" s="1" t="s">
        <v>28</v>
      </c>
      <c r="Q70" s="1" t="s">
        <v>110</v>
      </c>
      <c r="R70" s="1" t="s">
        <v>111</v>
      </c>
      <c r="S70" s="1">
        <v>2</v>
      </c>
      <c r="T70" s="1">
        <v>95590</v>
      </c>
      <c r="U70" s="1">
        <v>21</v>
      </c>
      <c r="V70" s="1">
        <v>115663.9</v>
      </c>
      <c r="W70" s="1">
        <v>0</v>
      </c>
      <c r="X70" s="1">
        <v>0</v>
      </c>
      <c r="Y70" s="1">
        <v>0</v>
      </c>
      <c r="Z70" s="1">
        <v>191180</v>
      </c>
      <c r="AA70" s="1"/>
    </row>
    <row r="71" spans="1:27" hidden="1" x14ac:dyDescent="0.3">
      <c r="A71" s="1" t="s">
        <v>112</v>
      </c>
      <c r="B71" s="2">
        <v>45728</v>
      </c>
      <c r="C71" s="1" t="s">
        <v>25</v>
      </c>
      <c r="D71" s="1">
        <v>1</v>
      </c>
      <c r="E71" s="1">
        <v>-920053.75</v>
      </c>
      <c r="F71" s="1">
        <v>0</v>
      </c>
      <c r="G71" s="1">
        <v>-159678.75</v>
      </c>
      <c r="H71" s="1">
        <v>-760375</v>
      </c>
      <c r="I71" s="1" t="s">
        <v>26</v>
      </c>
      <c r="J71" s="1"/>
      <c r="K71" s="1"/>
      <c r="L71" s="1"/>
      <c r="M71" s="1" t="s">
        <v>27</v>
      </c>
      <c r="N71" s="1"/>
      <c r="O71" s="1"/>
      <c r="P71" s="1" t="s">
        <v>28</v>
      </c>
      <c r="Q71" s="1" t="s">
        <v>29</v>
      </c>
      <c r="R71" s="1" t="s">
        <v>30</v>
      </c>
      <c r="S71" s="1">
        <v>100</v>
      </c>
      <c r="T71" s="1">
        <v>7603.75</v>
      </c>
      <c r="U71" s="1">
        <v>21</v>
      </c>
      <c r="V71" s="1">
        <v>9200.5375000000004</v>
      </c>
      <c r="W71" s="1">
        <v>0</v>
      </c>
      <c r="X71" s="1">
        <v>0</v>
      </c>
      <c r="Y71" s="1">
        <v>0</v>
      </c>
      <c r="Z71" s="1">
        <v>760375</v>
      </c>
      <c r="AA71" s="1"/>
    </row>
    <row r="72" spans="1:27" hidden="1" x14ac:dyDescent="0.3">
      <c r="A72" s="1" t="s">
        <v>113</v>
      </c>
      <c r="B72" s="2">
        <v>45729</v>
      </c>
      <c r="C72" s="1" t="s">
        <v>25</v>
      </c>
      <c r="D72" s="1">
        <v>1</v>
      </c>
      <c r="E72" s="1">
        <v>-1221831.44</v>
      </c>
      <c r="F72" s="1">
        <v>0</v>
      </c>
      <c r="G72" s="1">
        <v>-212053.39</v>
      </c>
      <c r="H72" s="1">
        <v>-1009778.05</v>
      </c>
      <c r="I72" s="1" t="s">
        <v>26</v>
      </c>
      <c r="J72" s="1"/>
      <c r="K72" s="1"/>
      <c r="L72" s="1"/>
      <c r="M72" s="1" t="s">
        <v>27</v>
      </c>
      <c r="N72" s="1"/>
      <c r="O72" s="1"/>
      <c r="P72" s="1" t="s">
        <v>28</v>
      </c>
      <c r="Q72" s="1" t="s">
        <v>29</v>
      </c>
      <c r="R72" s="1" t="s">
        <v>30</v>
      </c>
      <c r="S72" s="1">
        <v>75</v>
      </c>
      <c r="T72" s="1">
        <v>7603.75</v>
      </c>
      <c r="U72" s="1">
        <v>21</v>
      </c>
      <c r="V72" s="1">
        <v>9200.5375000000004</v>
      </c>
      <c r="W72" s="1">
        <v>0</v>
      </c>
      <c r="X72" s="1">
        <v>0</v>
      </c>
      <c r="Y72" s="1">
        <v>0</v>
      </c>
      <c r="Z72" s="1">
        <v>570281.25</v>
      </c>
      <c r="AA72" s="1"/>
    </row>
    <row r="73" spans="1:27" hidden="1" x14ac:dyDescent="0.3">
      <c r="A73" s="1" t="s">
        <v>113</v>
      </c>
      <c r="B73" s="2">
        <v>45729</v>
      </c>
      <c r="C73" s="1" t="s">
        <v>25</v>
      </c>
      <c r="D73" s="1">
        <v>1</v>
      </c>
      <c r="E73" s="1">
        <v>-1221831.44</v>
      </c>
      <c r="F73" s="1">
        <v>0</v>
      </c>
      <c r="G73" s="1">
        <v>-212053.39</v>
      </c>
      <c r="H73" s="1">
        <v>-1009778.05</v>
      </c>
      <c r="I73" s="1" t="s">
        <v>26</v>
      </c>
      <c r="J73" s="1"/>
      <c r="K73" s="1"/>
      <c r="L73" s="1"/>
      <c r="M73" s="1" t="s">
        <v>27</v>
      </c>
      <c r="N73" s="1"/>
      <c r="O73" s="1"/>
      <c r="P73" s="1" t="s">
        <v>28</v>
      </c>
      <c r="Q73" s="1" t="s">
        <v>49</v>
      </c>
      <c r="R73" s="1" t="s">
        <v>50</v>
      </c>
      <c r="S73" s="1">
        <v>20</v>
      </c>
      <c r="T73" s="1">
        <v>10808.19</v>
      </c>
      <c r="U73" s="1">
        <v>21</v>
      </c>
      <c r="V73" s="1">
        <v>13077.909900000001</v>
      </c>
      <c r="W73" s="1">
        <v>0</v>
      </c>
      <c r="X73" s="1">
        <v>0</v>
      </c>
      <c r="Y73" s="1">
        <v>0</v>
      </c>
      <c r="Z73" s="1">
        <v>216163.8</v>
      </c>
      <c r="AA73" s="1"/>
    </row>
    <row r="74" spans="1:27" hidden="1" x14ac:dyDescent="0.3">
      <c r="A74" s="1" t="s">
        <v>113</v>
      </c>
      <c r="B74" s="2">
        <v>45729</v>
      </c>
      <c r="C74" s="1" t="s">
        <v>25</v>
      </c>
      <c r="D74" s="1">
        <v>1</v>
      </c>
      <c r="E74" s="1">
        <v>-1221831.44</v>
      </c>
      <c r="F74" s="1">
        <v>0</v>
      </c>
      <c r="G74" s="1">
        <v>-212053.39</v>
      </c>
      <c r="H74" s="1">
        <v>-1009778.05</v>
      </c>
      <c r="I74" s="1" t="s">
        <v>26</v>
      </c>
      <c r="J74" s="1"/>
      <c r="K74" s="1"/>
      <c r="L74" s="1"/>
      <c r="M74" s="1" t="s">
        <v>27</v>
      </c>
      <c r="N74" s="1"/>
      <c r="O74" s="1"/>
      <c r="P74" s="1" t="s">
        <v>28</v>
      </c>
      <c r="Q74" s="1" t="s">
        <v>58</v>
      </c>
      <c r="R74" s="1" t="s">
        <v>59</v>
      </c>
      <c r="S74" s="1">
        <v>20</v>
      </c>
      <c r="T74" s="1">
        <v>11166.65</v>
      </c>
      <c r="U74" s="1">
        <v>21</v>
      </c>
      <c r="V74" s="1">
        <v>13511.646500000001</v>
      </c>
      <c r="W74" s="1">
        <v>0</v>
      </c>
      <c r="X74" s="1">
        <v>0</v>
      </c>
      <c r="Y74" s="1">
        <v>0</v>
      </c>
      <c r="Z74" s="1">
        <v>223333</v>
      </c>
      <c r="AA74" s="1"/>
    </row>
    <row r="75" spans="1:27" hidden="1" x14ac:dyDescent="0.3">
      <c r="A75" s="1" t="s">
        <v>114</v>
      </c>
      <c r="B75" s="2">
        <v>45733</v>
      </c>
      <c r="C75" s="1" t="s">
        <v>25</v>
      </c>
      <c r="D75" s="1">
        <v>1</v>
      </c>
      <c r="E75" s="1">
        <v>-1047259.84</v>
      </c>
      <c r="F75" s="1">
        <v>0</v>
      </c>
      <c r="G75" s="1">
        <v>-181755.84</v>
      </c>
      <c r="H75" s="1">
        <v>-865504</v>
      </c>
      <c r="I75" s="1" t="s">
        <v>26</v>
      </c>
      <c r="J75" s="1"/>
      <c r="K75" s="1"/>
      <c r="L75" s="1"/>
      <c r="M75" s="1" t="s">
        <v>27</v>
      </c>
      <c r="N75" s="1"/>
      <c r="O75" s="1"/>
      <c r="P75" s="1" t="s">
        <v>28</v>
      </c>
      <c r="Q75" s="1" t="s">
        <v>49</v>
      </c>
      <c r="R75" s="1" t="s">
        <v>50</v>
      </c>
      <c r="S75" s="1">
        <v>20</v>
      </c>
      <c r="T75" s="1">
        <v>10825.6</v>
      </c>
      <c r="U75" s="1">
        <v>21</v>
      </c>
      <c r="V75" s="1">
        <v>13098.976000000001</v>
      </c>
      <c r="W75" s="1">
        <v>0</v>
      </c>
      <c r="X75" s="1">
        <v>0</v>
      </c>
      <c r="Y75" s="1">
        <v>0</v>
      </c>
      <c r="Z75" s="1">
        <v>216512</v>
      </c>
      <c r="AA75" s="1"/>
    </row>
    <row r="76" spans="1:27" hidden="1" x14ac:dyDescent="0.3">
      <c r="A76" s="1" t="s">
        <v>114</v>
      </c>
      <c r="B76" s="2">
        <v>45733</v>
      </c>
      <c r="C76" s="1" t="s">
        <v>25</v>
      </c>
      <c r="D76" s="1">
        <v>1</v>
      </c>
      <c r="E76" s="1">
        <v>-1047259.84</v>
      </c>
      <c r="F76" s="1">
        <v>0</v>
      </c>
      <c r="G76" s="1">
        <v>-181755.84</v>
      </c>
      <c r="H76" s="1">
        <v>-865504</v>
      </c>
      <c r="I76" s="1" t="s">
        <v>26</v>
      </c>
      <c r="J76" s="1"/>
      <c r="K76" s="1"/>
      <c r="L76" s="1"/>
      <c r="M76" s="1" t="s">
        <v>27</v>
      </c>
      <c r="N76" s="1"/>
      <c r="O76" s="1"/>
      <c r="P76" s="1" t="s">
        <v>28</v>
      </c>
      <c r="Q76" s="1" t="s">
        <v>61</v>
      </c>
      <c r="R76" s="1" t="s">
        <v>62</v>
      </c>
      <c r="S76" s="1">
        <v>25</v>
      </c>
      <c r="T76" s="1">
        <v>7028.48</v>
      </c>
      <c r="U76" s="1">
        <v>21</v>
      </c>
      <c r="V76" s="1">
        <v>8504.4608000000007</v>
      </c>
      <c r="W76" s="1">
        <v>0</v>
      </c>
      <c r="X76" s="1">
        <v>0</v>
      </c>
      <c r="Y76" s="1">
        <v>0</v>
      </c>
      <c r="Z76" s="1">
        <v>175712</v>
      </c>
      <c r="AA76" s="1"/>
    </row>
    <row r="77" spans="1:27" hidden="1" x14ac:dyDescent="0.3">
      <c r="A77" s="1" t="s">
        <v>114</v>
      </c>
      <c r="B77" s="2">
        <v>45733</v>
      </c>
      <c r="C77" s="1" t="s">
        <v>25</v>
      </c>
      <c r="D77" s="1">
        <v>1</v>
      </c>
      <c r="E77" s="1">
        <v>-1047259.84</v>
      </c>
      <c r="F77" s="1">
        <v>0</v>
      </c>
      <c r="G77" s="1">
        <v>-181755.84</v>
      </c>
      <c r="H77" s="1">
        <v>-865504</v>
      </c>
      <c r="I77" s="1" t="s">
        <v>26</v>
      </c>
      <c r="J77" s="1"/>
      <c r="K77" s="1"/>
      <c r="L77" s="1"/>
      <c r="M77" s="1" t="s">
        <v>27</v>
      </c>
      <c r="N77" s="1"/>
      <c r="O77" s="1"/>
      <c r="P77" s="1" t="s">
        <v>28</v>
      </c>
      <c r="Q77" s="1" t="s">
        <v>33</v>
      </c>
      <c r="R77" s="1" t="s">
        <v>34</v>
      </c>
      <c r="S77" s="1">
        <v>50</v>
      </c>
      <c r="T77" s="1">
        <v>9465.6</v>
      </c>
      <c r="U77" s="1">
        <v>21</v>
      </c>
      <c r="V77" s="1">
        <v>11453.376</v>
      </c>
      <c r="W77" s="1">
        <v>0</v>
      </c>
      <c r="X77" s="1">
        <v>0</v>
      </c>
      <c r="Y77" s="1">
        <v>0</v>
      </c>
      <c r="Z77" s="1">
        <v>473280</v>
      </c>
      <c r="AA77" s="1"/>
    </row>
    <row r="78" spans="1:27" x14ac:dyDescent="0.3">
      <c r="A78" s="1" t="s">
        <v>115</v>
      </c>
      <c r="B78" s="2">
        <v>45733</v>
      </c>
      <c r="C78" s="1" t="s">
        <v>25</v>
      </c>
      <c r="D78" s="1">
        <v>1</v>
      </c>
      <c r="E78" s="1">
        <v>2979455.7</v>
      </c>
      <c r="F78" s="1">
        <v>0</v>
      </c>
      <c r="G78" s="1">
        <v>0</v>
      </c>
      <c r="H78" s="1">
        <v>2979455.7</v>
      </c>
      <c r="I78" s="1" t="s">
        <v>26</v>
      </c>
      <c r="J78" s="1" t="s">
        <v>36</v>
      </c>
      <c r="K78" s="1"/>
      <c r="L78" s="1" t="s">
        <v>116</v>
      </c>
      <c r="M78" s="1" t="s">
        <v>27</v>
      </c>
      <c r="N78" s="1" t="s">
        <v>38</v>
      </c>
      <c r="O78" s="1"/>
      <c r="P78" s="1" t="s">
        <v>28</v>
      </c>
      <c r="Q78" s="1" t="s">
        <v>39</v>
      </c>
      <c r="R78" s="1" t="s">
        <v>117</v>
      </c>
      <c r="T78" s="1">
        <v>26964.13</v>
      </c>
      <c r="AA78" s="1" t="s">
        <v>116</v>
      </c>
    </row>
    <row r="79" spans="1:27" x14ac:dyDescent="0.3">
      <c r="A79" s="1" t="s">
        <v>115</v>
      </c>
      <c r="B79" s="2">
        <v>45733</v>
      </c>
      <c r="C79" s="1" t="s">
        <v>25</v>
      </c>
      <c r="D79" s="1">
        <v>1</v>
      </c>
      <c r="E79" s="1">
        <v>2979455.7</v>
      </c>
      <c r="F79" s="1">
        <v>0</v>
      </c>
      <c r="G79" s="1">
        <v>0</v>
      </c>
      <c r="H79" s="1">
        <v>2979455.7</v>
      </c>
      <c r="I79" s="1" t="s">
        <v>26</v>
      </c>
      <c r="J79" s="1" t="s">
        <v>36</v>
      </c>
      <c r="K79" s="1"/>
      <c r="L79" s="1" t="s">
        <v>118</v>
      </c>
      <c r="M79" s="1" t="s">
        <v>27</v>
      </c>
      <c r="N79" s="1" t="s">
        <v>38</v>
      </c>
      <c r="O79" s="1"/>
      <c r="P79" s="1" t="s">
        <v>28</v>
      </c>
      <c r="Q79" s="1" t="s">
        <v>39</v>
      </c>
      <c r="R79" s="1" t="s">
        <v>119</v>
      </c>
      <c r="T79" s="1">
        <v>150000</v>
      </c>
      <c r="AA79" s="1" t="s">
        <v>118</v>
      </c>
    </row>
    <row r="80" spans="1:27" x14ac:dyDescent="0.3">
      <c r="A80" s="1" t="s">
        <v>115</v>
      </c>
      <c r="B80" s="2">
        <v>45733</v>
      </c>
      <c r="C80" s="1" t="s">
        <v>25</v>
      </c>
      <c r="D80" s="1">
        <v>1</v>
      </c>
      <c r="E80" s="1">
        <v>2979455.7</v>
      </c>
      <c r="F80" s="1">
        <v>0</v>
      </c>
      <c r="G80" s="1">
        <v>0</v>
      </c>
      <c r="H80" s="1">
        <v>2979455.7</v>
      </c>
      <c r="I80" s="1" t="s">
        <v>26</v>
      </c>
      <c r="J80" s="1" t="s">
        <v>36</v>
      </c>
      <c r="K80" s="1"/>
      <c r="L80" s="1" t="s">
        <v>120</v>
      </c>
      <c r="M80" s="1" t="s">
        <v>27</v>
      </c>
      <c r="N80" s="1" t="s">
        <v>38</v>
      </c>
      <c r="O80" s="1"/>
      <c r="P80" s="1" t="s">
        <v>28</v>
      </c>
      <c r="Q80" s="1" t="s">
        <v>39</v>
      </c>
      <c r="R80" s="1" t="s">
        <v>121</v>
      </c>
      <c r="T80" s="1">
        <v>797925.32</v>
      </c>
      <c r="AA80" s="1" t="s">
        <v>120</v>
      </c>
    </row>
    <row r="81" spans="1:27" x14ac:dyDescent="0.3">
      <c r="A81" s="1" t="s">
        <v>115</v>
      </c>
      <c r="B81" s="2">
        <v>45733</v>
      </c>
      <c r="C81" s="1" t="s">
        <v>25</v>
      </c>
      <c r="D81" s="1">
        <v>1</v>
      </c>
      <c r="E81" s="1">
        <v>2979455.7</v>
      </c>
      <c r="F81" s="1">
        <v>0</v>
      </c>
      <c r="G81" s="1">
        <v>0</v>
      </c>
      <c r="H81" s="1">
        <v>2979455.7</v>
      </c>
      <c r="I81" s="1" t="s">
        <v>26</v>
      </c>
      <c r="J81" s="1" t="s">
        <v>36</v>
      </c>
      <c r="K81" s="1"/>
      <c r="L81" s="1" t="s">
        <v>122</v>
      </c>
      <c r="M81" s="1" t="s">
        <v>27</v>
      </c>
      <c r="N81" s="1" t="s">
        <v>38</v>
      </c>
      <c r="O81" s="1"/>
      <c r="P81" s="1" t="s">
        <v>28</v>
      </c>
      <c r="Q81" s="1" t="s">
        <v>39</v>
      </c>
      <c r="R81" s="1" t="s">
        <v>123</v>
      </c>
      <c r="T81" s="1">
        <v>965841.08</v>
      </c>
      <c r="AA81" s="1" t="s">
        <v>122</v>
      </c>
    </row>
    <row r="82" spans="1:27" x14ac:dyDescent="0.3">
      <c r="A82" s="1" t="s">
        <v>115</v>
      </c>
      <c r="B82" s="2">
        <v>45733</v>
      </c>
      <c r="C82" s="1" t="s">
        <v>25</v>
      </c>
      <c r="D82" s="1">
        <v>1</v>
      </c>
      <c r="E82" s="1">
        <v>2979455.7</v>
      </c>
      <c r="F82" s="1">
        <v>0</v>
      </c>
      <c r="G82" s="1">
        <v>0</v>
      </c>
      <c r="H82" s="1">
        <v>2979455.7</v>
      </c>
      <c r="I82" s="1" t="s">
        <v>26</v>
      </c>
      <c r="J82" s="1" t="s">
        <v>36</v>
      </c>
      <c r="K82" s="1"/>
      <c r="L82" s="1" t="s">
        <v>124</v>
      </c>
      <c r="M82" s="1" t="s">
        <v>27</v>
      </c>
      <c r="N82" s="1" t="s">
        <v>38</v>
      </c>
      <c r="O82" s="1"/>
      <c r="P82" s="1" t="s">
        <v>28</v>
      </c>
      <c r="Q82" s="1" t="s">
        <v>39</v>
      </c>
      <c r="R82" s="1" t="s">
        <v>125</v>
      </c>
      <c r="T82" s="1">
        <v>313233</v>
      </c>
      <c r="AA82" s="1" t="s">
        <v>124</v>
      </c>
    </row>
    <row r="83" spans="1:27" x14ac:dyDescent="0.3">
      <c r="A83" s="1" t="s">
        <v>115</v>
      </c>
      <c r="B83" s="2">
        <v>45733</v>
      </c>
      <c r="C83" s="1" t="s">
        <v>25</v>
      </c>
      <c r="D83" s="1">
        <v>1</v>
      </c>
      <c r="E83" s="1">
        <v>2979455.7</v>
      </c>
      <c r="F83" s="1">
        <v>0</v>
      </c>
      <c r="G83" s="1">
        <v>0</v>
      </c>
      <c r="H83" s="1">
        <v>2979455.7</v>
      </c>
      <c r="I83" s="1" t="s">
        <v>26</v>
      </c>
      <c r="J83" s="1" t="s">
        <v>36</v>
      </c>
      <c r="K83" s="1"/>
      <c r="L83" s="1" t="s">
        <v>126</v>
      </c>
      <c r="M83" s="1" t="s">
        <v>27</v>
      </c>
      <c r="N83" s="1" t="s">
        <v>38</v>
      </c>
      <c r="O83" s="1"/>
      <c r="P83" s="1" t="s">
        <v>28</v>
      </c>
      <c r="Q83" s="1" t="s">
        <v>39</v>
      </c>
      <c r="R83" s="1" t="s">
        <v>127</v>
      </c>
      <c r="T83" s="1">
        <v>725492.17</v>
      </c>
      <c r="AA83" s="1" t="s">
        <v>126</v>
      </c>
    </row>
    <row r="84" spans="1:27" hidden="1" x14ac:dyDescent="0.3">
      <c r="A84" s="1" t="s">
        <v>128</v>
      </c>
      <c r="B84" s="2">
        <v>45735</v>
      </c>
      <c r="C84" s="1" t="s">
        <v>25</v>
      </c>
      <c r="D84" s="1">
        <v>1</v>
      </c>
      <c r="E84" s="1">
        <v>-1783465.34</v>
      </c>
      <c r="F84" s="1">
        <v>0</v>
      </c>
      <c r="G84" s="1">
        <v>-309527.03999999998</v>
      </c>
      <c r="H84" s="1">
        <v>-1473938.3</v>
      </c>
      <c r="I84" s="1" t="s">
        <v>26</v>
      </c>
      <c r="J84" s="1"/>
      <c r="K84" s="1"/>
      <c r="L84" s="1"/>
      <c r="M84" s="1" t="s">
        <v>27</v>
      </c>
      <c r="N84" s="1"/>
      <c r="O84" s="1"/>
      <c r="P84" s="1" t="s">
        <v>28</v>
      </c>
      <c r="Q84" s="1" t="s">
        <v>46</v>
      </c>
      <c r="R84" s="1" t="s">
        <v>47</v>
      </c>
      <c r="S84" s="1">
        <v>50</v>
      </c>
      <c r="T84" s="1">
        <v>6716.05</v>
      </c>
      <c r="U84" s="1">
        <v>21</v>
      </c>
      <c r="V84" s="1">
        <v>8126.4205000000002</v>
      </c>
      <c r="W84" s="1">
        <v>0</v>
      </c>
      <c r="X84" s="1">
        <v>0</v>
      </c>
      <c r="Y84" s="1">
        <v>0</v>
      </c>
      <c r="Z84" s="1">
        <v>335802.5</v>
      </c>
      <c r="AA84" s="1"/>
    </row>
    <row r="85" spans="1:27" hidden="1" x14ac:dyDescent="0.3">
      <c r="A85" s="1" t="s">
        <v>128</v>
      </c>
      <c r="B85" s="2">
        <v>45735</v>
      </c>
      <c r="C85" s="1" t="s">
        <v>25</v>
      </c>
      <c r="D85" s="1">
        <v>1</v>
      </c>
      <c r="E85" s="1">
        <v>-1783465.34</v>
      </c>
      <c r="F85" s="1">
        <v>0</v>
      </c>
      <c r="G85" s="1">
        <v>-309527.03999999998</v>
      </c>
      <c r="H85" s="1">
        <v>-1473938.3</v>
      </c>
      <c r="I85" s="1" t="s">
        <v>26</v>
      </c>
      <c r="J85" s="1"/>
      <c r="K85" s="1"/>
      <c r="L85" s="1"/>
      <c r="M85" s="1" t="s">
        <v>27</v>
      </c>
      <c r="N85" s="1"/>
      <c r="O85" s="1"/>
      <c r="P85" s="1" t="s">
        <v>28</v>
      </c>
      <c r="Q85" s="1" t="s">
        <v>49</v>
      </c>
      <c r="R85" s="1" t="s">
        <v>50</v>
      </c>
      <c r="S85" s="1">
        <v>40</v>
      </c>
      <c r="T85" s="1">
        <v>10830.58</v>
      </c>
      <c r="U85" s="1">
        <v>21</v>
      </c>
      <c r="V85" s="1">
        <v>13105.0018</v>
      </c>
      <c r="W85" s="1">
        <v>0</v>
      </c>
      <c r="X85" s="1">
        <v>0</v>
      </c>
      <c r="Y85" s="1">
        <v>0</v>
      </c>
      <c r="Z85" s="1">
        <v>433223.2</v>
      </c>
      <c r="AA85" s="1"/>
    </row>
    <row r="86" spans="1:27" hidden="1" x14ac:dyDescent="0.3">
      <c r="A86" s="1" t="s">
        <v>128</v>
      </c>
      <c r="B86" s="2">
        <v>45735</v>
      </c>
      <c r="C86" s="1" t="s">
        <v>25</v>
      </c>
      <c r="D86" s="1">
        <v>1</v>
      </c>
      <c r="E86" s="1">
        <v>-1783465.34</v>
      </c>
      <c r="F86" s="1">
        <v>0</v>
      </c>
      <c r="G86" s="1">
        <v>-309527.03999999998</v>
      </c>
      <c r="H86" s="1">
        <v>-1473938.3</v>
      </c>
      <c r="I86" s="1" t="s">
        <v>26</v>
      </c>
      <c r="J86" s="1"/>
      <c r="K86" s="1"/>
      <c r="L86" s="1"/>
      <c r="M86" s="1" t="s">
        <v>27</v>
      </c>
      <c r="N86" s="1"/>
      <c r="O86" s="1"/>
      <c r="P86" s="1" t="s">
        <v>28</v>
      </c>
      <c r="Q86" s="1" t="s">
        <v>58</v>
      </c>
      <c r="R86" s="1" t="s">
        <v>59</v>
      </c>
      <c r="S86" s="1">
        <v>20</v>
      </c>
      <c r="T86" s="1">
        <v>11189.78</v>
      </c>
      <c r="U86" s="1">
        <v>21</v>
      </c>
      <c r="V86" s="1">
        <v>13539.6338</v>
      </c>
      <c r="W86" s="1">
        <v>0</v>
      </c>
      <c r="X86" s="1">
        <v>0</v>
      </c>
      <c r="Y86" s="1">
        <v>0</v>
      </c>
      <c r="Z86" s="1">
        <v>223795.6</v>
      </c>
      <c r="AA86" s="1"/>
    </row>
    <row r="87" spans="1:27" hidden="1" x14ac:dyDescent="0.3">
      <c r="A87" s="1" t="s">
        <v>128</v>
      </c>
      <c r="B87" s="2">
        <v>45735</v>
      </c>
      <c r="C87" s="1" t="s">
        <v>25</v>
      </c>
      <c r="D87" s="1">
        <v>1</v>
      </c>
      <c r="E87" s="1">
        <v>-1783465.34</v>
      </c>
      <c r="F87" s="1">
        <v>0</v>
      </c>
      <c r="G87" s="1">
        <v>-309527.03999999998</v>
      </c>
      <c r="H87" s="1">
        <v>-1473938.3</v>
      </c>
      <c r="I87" s="1" t="s">
        <v>26</v>
      </c>
      <c r="J87" s="1"/>
      <c r="K87" s="1"/>
      <c r="L87" s="1"/>
      <c r="M87" s="1" t="s">
        <v>27</v>
      </c>
      <c r="N87" s="1"/>
      <c r="O87" s="1"/>
      <c r="P87" s="1" t="s">
        <v>28</v>
      </c>
      <c r="Q87" s="1" t="s">
        <v>129</v>
      </c>
      <c r="R87" s="1" t="s">
        <v>130</v>
      </c>
      <c r="S87" s="1">
        <v>25</v>
      </c>
      <c r="T87" s="1">
        <v>9774.73</v>
      </c>
      <c r="U87" s="1">
        <v>21</v>
      </c>
      <c r="V87" s="1">
        <v>11827.4233</v>
      </c>
      <c r="W87" s="1">
        <v>0</v>
      </c>
      <c r="X87" s="1">
        <v>0</v>
      </c>
      <c r="Y87" s="1">
        <v>0</v>
      </c>
      <c r="Z87" s="1">
        <v>244368.25</v>
      </c>
      <c r="AA87" s="1"/>
    </row>
    <row r="88" spans="1:27" hidden="1" x14ac:dyDescent="0.3">
      <c r="A88" s="1" t="s">
        <v>128</v>
      </c>
      <c r="B88" s="2">
        <v>45735</v>
      </c>
      <c r="C88" s="1" t="s">
        <v>25</v>
      </c>
      <c r="D88" s="1">
        <v>1</v>
      </c>
      <c r="E88" s="1">
        <v>-1783465.34</v>
      </c>
      <c r="F88" s="1">
        <v>0</v>
      </c>
      <c r="G88" s="1">
        <v>-309527.03999999998</v>
      </c>
      <c r="H88" s="1">
        <v>-1473938.3</v>
      </c>
      <c r="I88" s="1" t="s">
        <v>26</v>
      </c>
      <c r="J88" s="1"/>
      <c r="K88" s="1"/>
      <c r="L88" s="1"/>
      <c r="M88" s="1" t="s">
        <v>27</v>
      </c>
      <c r="N88" s="1"/>
      <c r="O88" s="1"/>
      <c r="P88" s="1" t="s">
        <v>28</v>
      </c>
      <c r="Q88" s="1" t="s">
        <v>33</v>
      </c>
      <c r="R88" s="1" t="s">
        <v>34</v>
      </c>
      <c r="S88" s="1">
        <v>25</v>
      </c>
      <c r="T88" s="1">
        <v>9469.9500000000007</v>
      </c>
      <c r="U88" s="1">
        <v>21</v>
      </c>
      <c r="V88" s="1">
        <v>11458.639499999999</v>
      </c>
      <c r="W88" s="1">
        <v>0</v>
      </c>
      <c r="X88" s="1">
        <v>0</v>
      </c>
      <c r="Y88" s="1">
        <v>0</v>
      </c>
      <c r="Z88" s="1">
        <v>236748.75</v>
      </c>
      <c r="AA88" s="1"/>
    </row>
    <row r="89" spans="1:27" hidden="1" x14ac:dyDescent="0.3">
      <c r="A89" s="1" t="s">
        <v>131</v>
      </c>
      <c r="B89" s="2">
        <v>45736</v>
      </c>
      <c r="C89" s="1" t="s">
        <v>25</v>
      </c>
      <c r="D89" s="1">
        <v>1</v>
      </c>
      <c r="E89" s="1">
        <v>-286663.52</v>
      </c>
      <c r="F89" s="1">
        <v>0</v>
      </c>
      <c r="G89" s="1">
        <v>-49751.519999999997</v>
      </c>
      <c r="H89" s="1">
        <v>-236912</v>
      </c>
      <c r="I89" s="1" t="s">
        <v>26</v>
      </c>
      <c r="J89" s="1"/>
      <c r="K89" s="1"/>
      <c r="L89" s="1"/>
      <c r="M89" s="1" t="s">
        <v>27</v>
      </c>
      <c r="N89" s="1"/>
      <c r="O89" s="1"/>
      <c r="P89" s="1" t="s">
        <v>28</v>
      </c>
      <c r="Q89" s="1" t="s">
        <v>33</v>
      </c>
      <c r="R89" s="1" t="s">
        <v>34</v>
      </c>
      <c r="S89" s="1">
        <v>25</v>
      </c>
      <c r="T89" s="1">
        <v>9476.48</v>
      </c>
      <c r="U89" s="1">
        <v>21</v>
      </c>
      <c r="V89" s="1">
        <v>11466.540800000001</v>
      </c>
      <c r="W89" s="1">
        <v>0</v>
      </c>
      <c r="X89" s="1">
        <v>0</v>
      </c>
      <c r="Y89" s="1">
        <v>0</v>
      </c>
      <c r="Z89" s="1">
        <v>236912</v>
      </c>
      <c r="AA89" s="1"/>
    </row>
    <row r="90" spans="1:27" x14ac:dyDescent="0.3">
      <c r="A90" s="1" t="s">
        <v>132</v>
      </c>
      <c r="B90" s="2">
        <v>45737</v>
      </c>
      <c r="C90" s="1" t="s">
        <v>25</v>
      </c>
      <c r="D90" s="1">
        <v>1</v>
      </c>
      <c r="E90" s="1">
        <v>1256562.96</v>
      </c>
      <c r="F90" s="1">
        <v>0</v>
      </c>
      <c r="G90" s="1">
        <v>0</v>
      </c>
      <c r="H90" s="1">
        <v>1256562.96</v>
      </c>
      <c r="I90" s="1" t="s">
        <v>26</v>
      </c>
      <c r="J90" s="1" t="s">
        <v>36</v>
      </c>
      <c r="K90" s="1"/>
      <c r="L90" s="1" t="s">
        <v>133</v>
      </c>
      <c r="M90" s="1" t="s">
        <v>27</v>
      </c>
      <c r="N90" s="1" t="s">
        <v>38</v>
      </c>
      <c r="O90" s="1"/>
      <c r="P90" s="1" t="s">
        <v>28</v>
      </c>
      <c r="Q90" s="1" t="s">
        <v>39</v>
      </c>
      <c r="R90" s="1" t="s">
        <v>134</v>
      </c>
      <c r="T90" s="1">
        <v>628281.48</v>
      </c>
      <c r="AA90" s="1" t="s">
        <v>133</v>
      </c>
    </row>
    <row r="91" spans="1:27" x14ac:dyDescent="0.3">
      <c r="A91" s="1" t="s">
        <v>132</v>
      </c>
      <c r="B91" s="2">
        <v>45737</v>
      </c>
      <c r="C91" s="1" t="s">
        <v>25</v>
      </c>
      <c r="D91" s="1">
        <v>1</v>
      </c>
      <c r="E91" s="1">
        <v>1256562.96</v>
      </c>
      <c r="F91" s="1">
        <v>0</v>
      </c>
      <c r="G91" s="1">
        <v>0</v>
      </c>
      <c r="H91" s="1">
        <v>1256562.96</v>
      </c>
      <c r="I91" s="1" t="s">
        <v>26</v>
      </c>
      <c r="J91" s="1" t="s">
        <v>36</v>
      </c>
      <c r="K91" s="1"/>
      <c r="L91" s="1" t="s">
        <v>135</v>
      </c>
      <c r="M91" s="1" t="s">
        <v>27</v>
      </c>
      <c r="N91" s="1" t="s">
        <v>38</v>
      </c>
      <c r="O91" s="1"/>
      <c r="P91" s="1" t="s">
        <v>28</v>
      </c>
      <c r="Q91" s="1" t="s">
        <v>39</v>
      </c>
      <c r="R91" s="1" t="s">
        <v>136</v>
      </c>
      <c r="T91" s="1">
        <v>628281.48</v>
      </c>
      <c r="AA91" s="1" t="s">
        <v>135</v>
      </c>
    </row>
    <row r="92" spans="1:27" hidden="1" x14ac:dyDescent="0.3">
      <c r="A92" s="1" t="s">
        <v>137</v>
      </c>
      <c r="B92" s="2">
        <v>45741</v>
      </c>
      <c r="C92" s="1" t="s">
        <v>25</v>
      </c>
      <c r="D92" s="1">
        <v>1</v>
      </c>
      <c r="E92" s="1">
        <v>-287189.87</v>
      </c>
      <c r="F92" s="1">
        <v>0</v>
      </c>
      <c r="G92" s="1">
        <v>-49842.87</v>
      </c>
      <c r="H92" s="1">
        <v>-237347</v>
      </c>
      <c r="I92" s="1" t="s">
        <v>26</v>
      </c>
      <c r="J92" s="1"/>
      <c r="K92" s="1"/>
      <c r="L92" s="1"/>
      <c r="M92" s="1" t="s">
        <v>27</v>
      </c>
      <c r="N92" s="1"/>
      <c r="O92" s="1"/>
      <c r="P92" s="1" t="s">
        <v>28</v>
      </c>
      <c r="Q92" s="1" t="s">
        <v>33</v>
      </c>
      <c r="R92" s="1" t="s">
        <v>34</v>
      </c>
      <c r="S92" s="1">
        <v>25</v>
      </c>
      <c r="T92" s="1">
        <v>9493.8799999999992</v>
      </c>
      <c r="U92" s="1">
        <v>21</v>
      </c>
      <c r="V92" s="1">
        <v>11487.594800000001</v>
      </c>
      <c r="W92" s="1">
        <v>0</v>
      </c>
      <c r="X92" s="1">
        <v>0</v>
      </c>
      <c r="Y92" s="1">
        <v>0</v>
      </c>
      <c r="Z92" s="1">
        <v>237347</v>
      </c>
      <c r="AA92" s="1"/>
    </row>
    <row r="93" spans="1:27" hidden="1" x14ac:dyDescent="0.3">
      <c r="A93" s="1" t="s">
        <v>138</v>
      </c>
      <c r="B93" s="2">
        <v>45741</v>
      </c>
      <c r="C93" s="1" t="s">
        <v>25</v>
      </c>
      <c r="D93" s="1">
        <v>1</v>
      </c>
      <c r="E93" s="1">
        <v>-477219.77</v>
      </c>
      <c r="F93" s="1">
        <v>0</v>
      </c>
      <c r="G93" s="1">
        <v>-82823.27</v>
      </c>
      <c r="H93" s="1">
        <v>-394396.5</v>
      </c>
      <c r="I93" s="1" t="s">
        <v>26</v>
      </c>
      <c r="J93" s="1"/>
      <c r="K93" s="1"/>
      <c r="L93" s="1"/>
      <c r="M93" s="1" t="s">
        <v>27</v>
      </c>
      <c r="N93" s="1"/>
      <c r="O93" s="1"/>
      <c r="P93" s="1" t="s">
        <v>28</v>
      </c>
      <c r="Q93" s="1" t="s">
        <v>61</v>
      </c>
      <c r="R93" s="1" t="s">
        <v>62</v>
      </c>
      <c r="S93" s="1">
        <v>25</v>
      </c>
      <c r="T93" s="1">
        <v>7047.86</v>
      </c>
      <c r="U93" s="1">
        <v>21</v>
      </c>
      <c r="V93" s="1">
        <v>8527.9105999999992</v>
      </c>
      <c r="W93" s="1">
        <v>0</v>
      </c>
      <c r="X93" s="1">
        <v>0</v>
      </c>
      <c r="Y93" s="1">
        <v>0</v>
      </c>
      <c r="Z93" s="1">
        <v>176196.5</v>
      </c>
      <c r="AA93" s="1"/>
    </row>
    <row r="94" spans="1:27" hidden="1" x14ac:dyDescent="0.3">
      <c r="A94" s="1" t="s">
        <v>138</v>
      </c>
      <c r="B94" s="2">
        <v>45741</v>
      </c>
      <c r="C94" s="1" t="s">
        <v>25</v>
      </c>
      <c r="D94" s="1">
        <v>1</v>
      </c>
      <c r="E94" s="1">
        <v>-477219.77</v>
      </c>
      <c r="F94" s="1">
        <v>0</v>
      </c>
      <c r="G94" s="1">
        <v>-82823.27</v>
      </c>
      <c r="H94" s="1">
        <v>-394396.5</v>
      </c>
      <c r="I94" s="1" t="s">
        <v>26</v>
      </c>
      <c r="J94" s="1"/>
      <c r="K94" s="1"/>
      <c r="L94" s="1"/>
      <c r="M94" s="1" t="s">
        <v>27</v>
      </c>
      <c r="N94" s="1"/>
      <c r="O94" s="1"/>
      <c r="P94" s="1" t="s">
        <v>28</v>
      </c>
      <c r="Q94" s="1" t="s">
        <v>31</v>
      </c>
      <c r="R94" s="1" t="s">
        <v>32</v>
      </c>
      <c r="S94" s="1">
        <v>25</v>
      </c>
      <c r="T94" s="1">
        <v>8728</v>
      </c>
      <c r="U94" s="1">
        <v>21</v>
      </c>
      <c r="V94" s="1">
        <v>10560.88</v>
      </c>
      <c r="W94" s="1">
        <v>0</v>
      </c>
      <c r="X94" s="1">
        <v>0</v>
      </c>
      <c r="Y94" s="1">
        <v>0</v>
      </c>
      <c r="Z94" s="1">
        <v>218200</v>
      </c>
      <c r="AA94" s="1"/>
    </row>
    <row r="95" spans="1:27" x14ac:dyDescent="0.3">
      <c r="A95" s="1" t="s">
        <v>139</v>
      </c>
      <c r="B95" s="2">
        <v>45741</v>
      </c>
      <c r="C95" s="1" t="s">
        <v>25</v>
      </c>
      <c r="D95" s="1">
        <v>1</v>
      </c>
      <c r="E95" s="1">
        <v>2659282</v>
      </c>
      <c r="F95" s="1">
        <v>0</v>
      </c>
      <c r="G95" s="1">
        <v>0</v>
      </c>
      <c r="H95" s="1">
        <v>2659282</v>
      </c>
      <c r="I95" s="1" t="s">
        <v>26</v>
      </c>
      <c r="J95" s="1" t="s">
        <v>36</v>
      </c>
      <c r="K95" s="1"/>
      <c r="L95" s="1" t="s">
        <v>140</v>
      </c>
      <c r="M95" s="1" t="s">
        <v>27</v>
      </c>
      <c r="N95" s="1" t="s">
        <v>38</v>
      </c>
      <c r="O95" s="1"/>
      <c r="P95" s="1" t="s">
        <v>28</v>
      </c>
      <c r="Q95" s="1" t="s">
        <v>39</v>
      </c>
      <c r="R95" s="1" t="s">
        <v>141</v>
      </c>
      <c r="T95" s="1">
        <v>2659282</v>
      </c>
      <c r="AA95" s="1" t="s">
        <v>140</v>
      </c>
    </row>
    <row r="96" spans="1:27" hidden="1" x14ac:dyDescent="0.3">
      <c r="A96" s="1" t="s">
        <v>142</v>
      </c>
      <c r="B96" s="2">
        <v>45742</v>
      </c>
      <c r="C96" s="1" t="s">
        <v>25</v>
      </c>
      <c r="D96" s="1">
        <v>1</v>
      </c>
      <c r="E96" s="1">
        <v>-296432.76</v>
      </c>
      <c r="F96" s="1">
        <v>0</v>
      </c>
      <c r="G96" s="1">
        <v>-51447.01</v>
      </c>
      <c r="H96" s="1">
        <v>-244985.75</v>
      </c>
      <c r="I96" s="1" t="s">
        <v>26</v>
      </c>
      <c r="J96" s="1"/>
      <c r="K96" s="1"/>
      <c r="L96" s="1"/>
      <c r="M96" s="1" t="s">
        <v>27</v>
      </c>
      <c r="N96" s="1"/>
      <c r="O96" s="1"/>
      <c r="P96" s="1" t="s">
        <v>28</v>
      </c>
      <c r="Q96" s="1" t="s">
        <v>129</v>
      </c>
      <c r="R96" s="1" t="s">
        <v>130</v>
      </c>
      <c r="S96" s="1">
        <v>25</v>
      </c>
      <c r="T96" s="1">
        <v>9799.43</v>
      </c>
      <c r="U96" s="1">
        <v>21</v>
      </c>
      <c r="V96" s="1">
        <v>11857.310299999999</v>
      </c>
      <c r="W96" s="1">
        <v>0</v>
      </c>
      <c r="X96" s="1">
        <v>0</v>
      </c>
      <c r="Y96" s="1">
        <v>0</v>
      </c>
      <c r="Z96" s="1">
        <v>244985.75</v>
      </c>
      <c r="AA96" s="1"/>
    </row>
    <row r="97" spans="1:27" hidden="1" x14ac:dyDescent="0.3">
      <c r="A97" s="1" t="s">
        <v>143</v>
      </c>
      <c r="B97" s="2">
        <v>45743</v>
      </c>
      <c r="C97" s="1" t="s">
        <v>25</v>
      </c>
      <c r="D97" s="1">
        <v>1</v>
      </c>
      <c r="E97" s="1">
        <v>-871143.73</v>
      </c>
      <c r="F97" s="1">
        <v>0</v>
      </c>
      <c r="G97" s="1">
        <v>-151190.23000000001</v>
      </c>
      <c r="H97" s="1">
        <v>-719953.5</v>
      </c>
      <c r="I97" s="1" t="s">
        <v>26</v>
      </c>
      <c r="J97" s="1"/>
      <c r="K97" s="1"/>
      <c r="L97" s="1"/>
      <c r="M97" s="1" t="s">
        <v>27</v>
      </c>
      <c r="N97" s="1"/>
      <c r="O97" s="1"/>
      <c r="P97" s="1" t="s">
        <v>28</v>
      </c>
      <c r="Q97" s="1" t="s">
        <v>49</v>
      </c>
      <c r="R97" s="1" t="s">
        <v>50</v>
      </c>
      <c r="S97" s="1">
        <v>20</v>
      </c>
      <c r="T97" s="1">
        <v>10860.43</v>
      </c>
      <c r="U97" s="1">
        <v>21</v>
      </c>
      <c r="V97" s="1">
        <v>13141.1203</v>
      </c>
      <c r="W97" s="1">
        <v>0</v>
      </c>
      <c r="X97" s="1">
        <v>0</v>
      </c>
      <c r="Y97" s="1">
        <v>0</v>
      </c>
      <c r="Z97" s="1">
        <v>217208.6</v>
      </c>
      <c r="AA97" s="1"/>
    </row>
    <row r="98" spans="1:27" hidden="1" x14ac:dyDescent="0.3">
      <c r="A98" s="1" t="s">
        <v>143</v>
      </c>
      <c r="B98" s="2">
        <v>45743</v>
      </c>
      <c r="C98" s="1" t="s">
        <v>25</v>
      </c>
      <c r="D98" s="1">
        <v>1</v>
      </c>
      <c r="E98" s="1">
        <v>-871143.73</v>
      </c>
      <c r="F98" s="1">
        <v>0</v>
      </c>
      <c r="G98" s="1">
        <v>-151190.23000000001</v>
      </c>
      <c r="H98" s="1">
        <v>-719953.5</v>
      </c>
      <c r="I98" s="1" t="s">
        <v>26</v>
      </c>
      <c r="J98" s="1"/>
      <c r="K98" s="1"/>
      <c r="L98" s="1"/>
      <c r="M98" s="1" t="s">
        <v>27</v>
      </c>
      <c r="N98" s="1"/>
      <c r="O98" s="1"/>
      <c r="P98" s="1" t="s">
        <v>28</v>
      </c>
      <c r="Q98" s="1" t="s">
        <v>58</v>
      </c>
      <c r="R98" s="1" t="s">
        <v>59</v>
      </c>
      <c r="S98" s="1">
        <v>20</v>
      </c>
      <c r="T98" s="1">
        <v>11220.62</v>
      </c>
      <c r="U98" s="1">
        <v>21</v>
      </c>
      <c r="V98" s="1">
        <v>13576.950199999999</v>
      </c>
      <c r="W98" s="1">
        <v>0</v>
      </c>
      <c r="X98" s="1">
        <v>0</v>
      </c>
      <c r="Y98" s="1">
        <v>0</v>
      </c>
      <c r="Z98" s="1">
        <v>224412.4</v>
      </c>
      <c r="AA98" s="1"/>
    </row>
    <row r="99" spans="1:27" hidden="1" x14ac:dyDescent="0.3">
      <c r="A99" s="1" t="s">
        <v>143</v>
      </c>
      <c r="B99" s="2">
        <v>45743</v>
      </c>
      <c r="C99" s="1" t="s">
        <v>25</v>
      </c>
      <c r="D99" s="1">
        <v>1</v>
      </c>
      <c r="E99" s="1">
        <v>-871143.73</v>
      </c>
      <c r="F99" s="1">
        <v>0</v>
      </c>
      <c r="G99" s="1">
        <v>-151190.23000000001</v>
      </c>
      <c r="H99" s="1">
        <v>-719953.5</v>
      </c>
      <c r="I99" s="1" t="s">
        <v>26</v>
      </c>
      <c r="J99" s="1"/>
      <c r="K99" s="1"/>
      <c r="L99" s="1"/>
      <c r="M99" s="1" t="s">
        <v>27</v>
      </c>
      <c r="N99" s="1"/>
      <c r="O99" s="1"/>
      <c r="P99" s="1" t="s">
        <v>28</v>
      </c>
      <c r="Q99" s="1" t="s">
        <v>144</v>
      </c>
      <c r="R99" s="1" t="s">
        <v>145</v>
      </c>
      <c r="S99" s="1">
        <v>25</v>
      </c>
      <c r="T99" s="1">
        <v>11133.3</v>
      </c>
      <c r="U99" s="1">
        <v>21</v>
      </c>
      <c r="V99" s="1">
        <v>13471.293</v>
      </c>
      <c r="W99" s="1">
        <v>0</v>
      </c>
      <c r="X99" s="1">
        <v>0</v>
      </c>
      <c r="Y99" s="1">
        <v>0</v>
      </c>
      <c r="Z99" s="1">
        <v>278332.5</v>
      </c>
      <c r="AA99" s="1"/>
    </row>
    <row r="100" spans="1:27" hidden="1" x14ac:dyDescent="0.3">
      <c r="A100" s="1" t="s">
        <v>146</v>
      </c>
      <c r="B100" s="2">
        <v>45744</v>
      </c>
      <c r="C100" s="1" t="s">
        <v>25</v>
      </c>
      <c r="D100" s="1">
        <v>1</v>
      </c>
      <c r="E100" s="1">
        <v>-1187594.67</v>
      </c>
      <c r="F100" s="1">
        <v>0</v>
      </c>
      <c r="G100" s="1">
        <v>-206111.47</v>
      </c>
      <c r="H100" s="1">
        <v>-981483.2</v>
      </c>
      <c r="I100" s="1" t="s">
        <v>26</v>
      </c>
      <c r="J100" s="1"/>
      <c r="K100" s="1"/>
      <c r="L100" s="1"/>
      <c r="M100" s="1" t="s">
        <v>27</v>
      </c>
      <c r="N100" s="1"/>
      <c r="O100" s="1"/>
      <c r="P100" s="1" t="s">
        <v>28</v>
      </c>
      <c r="Q100" s="1" t="s">
        <v>29</v>
      </c>
      <c r="R100" s="1" t="s">
        <v>30</v>
      </c>
      <c r="S100" s="1">
        <v>100</v>
      </c>
      <c r="T100" s="1">
        <v>7642.25</v>
      </c>
      <c r="U100" s="1">
        <v>21</v>
      </c>
      <c r="V100" s="1">
        <v>9247.1224999999995</v>
      </c>
      <c r="W100" s="1">
        <v>0</v>
      </c>
      <c r="X100" s="1">
        <v>0</v>
      </c>
      <c r="Y100" s="1">
        <v>0</v>
      </c>
      <c r="Z100" s="1">
        <v>764225</v>
      </c>
      <c r="AA100" s="1"/>
    </row>
    <row r="101" spans="1:27" hidden="1" x14ac:dyDescent="0.3">
      <c r="A101" s="1" t="s">
        <v>146</v>
      </c>
      <c r="B101" s="2">
        <v>45744</v>
      </c>
      <c r="C101" s="1" t="s">
        <v>25</v>
      </c>
      <c r="D101" s="1">
        <v>1</v>
      </c>
      <c r="E101" s="1">
        <v>-1187594.67</v>
      </c>
      <c r="F101" s="1">
        <v>0</v>
      </c>
      <c r="G101" s="1">
        <v>-206111.47</v>
      </c>
      <c r="H101" s="1">
        <v>-981483.2</v>
      </c>
      <c r="I101" s="1" t="s">
        <v>26</v>
      </c>
      <c r="J101" s="1"/>
      <c r="K101" s="1"/>
      <c r="L101" s="1"/>
      <c r="M101" s="1" t="s">
        <v>27</v>
      </c>
      <c r="N101" s="1"/>
      <c r="O101" s="1"/>
      <c r="P101" s="1" t="s">
        <v>28</v>
      </c>
      <c r="Q101" s="1" t="s">
        <v>49</v>
      </c>
      <c r="R101" s="1" t="s">
        <v>50</v>
      </c>
      <c r="S101" s="1">
        <v>20</v>
      </c>
      <c r="T101" s="1">
        <v>10862.91</v>
      </c>
      <c r="U101" s="1">
        <v>21</v>
      </c>
      <c r="V101" s="1">
        <v>13144.1211</v>
      </c>
      <c r="W101" s="1">
        <v>0</v>
      </c>
      <c r="X101" s="1">
        <v>0</v>
      </c>
      <c r="Y101" s="1">
        <v>0</v>
      </c>
      <c r="Z101" s="1">
        <v>217258.2</v>
      </c>
      <c r="AA101" s="1"/>
    </row>
    <row r="102" spans="1:27" hidden="1" x14ac:dyDescent="0.3">
      <c r="A102" s="1" t="s">
        <v>206</v>
      </c>
      <c r="B102" s="2">
        <v>45748</v>
      </c>
      <c r="C102" s="1" t="s">
        <v>25</v>
      </c>
      <c r="D102" s="1">
        <v>1</v>
      </c>
      <c r="E102" s="1">
        <v>-1279472.1499999999</v>
      </c>
      <c r="F102" s="1">
        <v>0</v>
      </c>
      <c r="G102" s="1">
        <v>-222057.15</v>
      </c>
      <c r="H102" s="1">
        <v>-1057415</v>
      </c>
      <c r="I102" s="1" t="s">
        <v>26</v>
      </c>
      <c r="J102" s="1"/>
      <c r="K102" s="1"/>
      <c r="L102" s="1"/>
      <c r="M102" s="1" t="s">
        <v>27</v>
      </c>
      <c r="N102" s="1"/>
      <c r="O102" s="1"/>
      <c r="P102" s="1" t="s">
        <v>28</v>
      </c>
      <c r="Q102" s="1" t="s">
        <v>46</v>
      </c>
      <c r="R102" s="1" t="s">
        <v>47</v>
      </c>
      <c r="S102" s="1">
        <v>100</v>
      </c>
      <c r="T102" s="1">
        <v>6746.9</v>
      </c>
      <c r="U102" s="1">
        <v>21</v>
      </c>
      <c r="V102" s="1">
        <v>8163.7489999999998</v>
      </c>
      <c r="W102" s="1">
        <v>0</v>
      </c>
      <c r="X102" s="1">
        <v>0</v>
      </c>
      <c r="Y102" s="1">
        <v>0</v>
      </c>
      <c r="Z102" s="1">
        <v>674690</v>
      </c>
      <c r="AA102" s="1"/>
    </row>
    <row r="103" spans="1:27" hidden="1" x14ac:dyDescent="0.3">
      <c r="A103" s="1" t="s">
        <v>206</v>
      </c>
      <c r="B103" s="2">
        <v>45748</v>
      </c>
      <c r="C103" s="1" t="s">
        <v>25</v>
      </c>
      <c r="D103" s="1">
        <v>1</v>
      </c>
      <c r="E103" s="1">
        <v>-1279472.1499999999</v>
      </c>
      <c r="F103" s="1">
        <v>0</v>
      </c>
      <c r="G103" s="1">
        <v>-222057.15</v>
      </c>
      <c r="H103" s="1">
        <v>-1057415</v>
      </c>
      <c r="I103" s="1" t="s">
        <v>26</v>
      </c>
      <c r="J103" s="1"/>
      <c r="K103" s="1"/>
      <c r="L103" s="1"/>
      <c r="M103" s="1" t="s">
        <v>27</v>
      </c>
      <c r="N103" s="1"/>
      <c r="O103" s="1"/>
      <c r="P103" s="1" t="s">
        <v>28</v>
      </c>
      <c r="Q103" s="1" t="s">
        <v>29</v>
      </c>
      <c r="R103" s="1" t="s">
        <v>30</v>
      </c>
      <c r="S103" s="1">
        <v>50</v>
      </c>
      <c r="T103" s="1">
        <v>7654.5</v>
      </c>
      <c r="U103" s="1">
        <v>21</v>
      </c>
      <c r="V103" s="1">
        <v>9261.9449999999997</v>
      </c>
      <c r="W103" s="1">
        <v>0</v>
      </c>
      <c r="X103" s="1">
        <v>0</v>
      </c>
      <c r="Y103" s="1">
        <v>0</v>
      </c>
      <c r="Z103" s="1">
        <v>382725</v>
      </c>
      <c r="AA103" s="1"/>
    </row>
    <row r="104" spans="1:27" hidden="1" x14ac:dyDescent="0.3">
      <c r="A104" s="1" t="s">
        <v>207</v>
      </c>
      <c r="B104" s="2">
        <v>45748</v>
      </c>
      <c r="C104" s="1" t="s">
        <v>25</v>
      </c>
      <c r="D104" s="1">
        <v>1</v>
      </c>
      <c r="E104" s="1">
        <v>-496175.63</v>
      </c>
      <c r="F104" s="1">
        <v>0</v>
      </c>
      <c r="G104" s="1">
        <v>-86113.13</v>
      </c>
      <c r="H104" s="1">
        <v>-410062.5</v>
      </c>
      <c r="I104" s="1" t="s">
        <v>26</v>
      </c>
      <c r="J104" s="1"/>
      <c r="K104" s="1"/>
      <c r="L104" s="1"/>
      <c r="M104" s="1" t="s">
        <v>27</v>
      </c>
      <c r="N104" s="1"/>
      <c r="O104" s="1"/>
      <c r="P104" s="1" t="s">
        <v>28</v>
      </c>
      <c r="Q104" s="1" t="s">
        <v>29</v>
      </c>
      <c r="R104" s="1" t="s">
        <v>30</v>
      </c>
      <c r="S104" s="1">
        <v>50</v>
      </c>
      <c r="T104" s="1">
        <v>8201.25</v>
      </c>
      <c r="U104" s="1">
        <v>21</v>
      </c>
      <c r="V104" s="1">
        <v>9923.5125000000007</v>
      </c>
      <c r="W104" s="1">
        <v>0</v>
      </c>
      <c r="X104" s="1">
        <v>0</v>
      </c>
      <c r="Y104" s="1">
        <v>0</v>
      </c>
      <c r="Z104" s="1">
        <v>410062.5</v>
      </c>
      <c r="AA104" s="1"/>
    </row>
    <row r="105" spans="1:27" hidden="1" x14ac:dyDescent="0.3">
      <c r="A105" s="1" t="s">
        <v>208</v>
      </c>
      <c r="B105" s="2">
        <v>45748</v>
      </c>
      <c r="C105" s="1" t="s">
        <v>25</v>
      </c>
      <c r="D105" s="1">
        <v>1</v>
      </c>
      <c r="E105" s="1">
        <v>33078.379999999997</v>
      </c>
      <c r="F105" s="1">
        <v>0</v>
      </c>
      <c r="G105" s="1">
        <v>5740.88</v>
      </c>
      <c r="H105" s="1">
        <v>27337.5</v>
      </c>
      <c r="I105" s="1" t="s">
        <v>26</v>
      </c>
      <c r="J105" s="1"/>
      <c r="K105" s="1"/>
      <c r="L105" s="1"/>
      <c r="M105" s="1" t="s">
        <v>27</v>
      </c>
      <c r="N105" s="1"/>
      <c r="O105" s="1"/>
      <c r="P105" s="1" t="s">
        <v>28</v>
      </c>
      <c r="Q105" s="1" t="s">
        <v>174</v>
      </c>
      <c r="R105" s="1" t="s">
        <v>175</v>
      </c>
      <c r="S105" s="1">
        <v>1</v>
      </c>
      <c r="T105" s="1">
        <v>27337.5</v>
      </c>
      <c r="U105" s="1">
        <v>21</v>
      </c>
      <c r="V105" s="1">
        <v>33078.375</v>
      </c>
      <c r="W105" s="1">
        <v>0</v>
      </c>
      <c r="X105" s="1">
        <v>0</v>
      </c>
      <c r="Y105" s="1">
        <v>0</v>
      </c>
      <c r="Z105" s="1">
        <v>27337.5</v>
      </c>
      <c r="AA105" s="1"/>
    </row>
    <row r="106" spans="1:27" hidden="1" x14ac:dyDescent="0.3">
      <c r="A106" s="1" t="s">
        <v>205</v>
      </c>
      <c r="B106" s="2">
        <v>45750</v>
      </c>
      <c r="C106" s="1" t="s">
        <v>25</v>
      </c>
      <c r="D106" s="1">
        <v>1</v>
      </c>
      <c r="E106" s="1">
        <v>-799192.17</v>
      </c>
      <c r="F106" s="1">
        <v>0</v>
      </c>
      <c r="G106" s="1">
        <v>-138702.76999999999</v>
      </c>
      <c r="H106" s="1">
        <v>-660489.4</v>
      </c>
      <c r="I106" s="1" t="s">
        <v>26</v>
      </c>
      <c r="J106" s="1"/>
      <c r="K106" s="1"/>
      <c r="L106" s="1"/>
      <c r="M106" s="1" t="s">
        <v>27</v>
      </c>
      <c r="N106" s="1"/>
      <c r="O106" s="1"/>
      <c r="P106" s="1" t="s">
        <v>28</v>
      </c>
      <c r="Q106" s="1" t="s">
        <v>49</v>
      </c>
      <c r="R106" s="1" t="s">
        <v>50</v>
      </c>
      <c r="S106" s="1">
        <v>40</v>
      </c>
      <c r="T106" s="1">
        <v>10887.79</v>
      </c>
      <c r="U106" s="1">
        <v>21</v>
      </c>
      <c r="V106" s="1">
        <v>13174.225899999999</v>
      </c>
      <c r="W106" s="1">
        <v>0</v>
      </c>
      <c r="X106" s="1">
        <v>0</v>
      </c>
      <c r="Y106" s="1">
        <v>0</v>
      </c>
      <c r="Z106" s="1">
        <v>435511.6</v>
      </c>
      <c r="AA106" s="1"/>
    </row>
    <row r="107" spans="1:27" hidden="1" x14ac:dyDescent="0.3">
      <c r="A107" s="1" t="s">
        <v>205</v>
      </c>
      <c r="B107" s="2">
        <v>45750</v>
      </c>
      <c r="C107" s="1" t="s">
        <v>25</v>
      </c>
      <c r="D107" s="1">
        <v>1</v>
      </c>
      <c r="E107" s="1">
        <v>-799192.17</v>
      </c>
      <c r="F107" s="1">
        <v>0</v>
      </c>
      <c r="G107" s="1">
        <v>-138702.76999999999</v>
      </c>
      <c r="H107" s="1">
        <v>-660489.4</v>
      </c>
      <c r="I107" s="1" t="s">
        <v>26</v>
      </c>
      <c r="J107" s="1"/>
      <c r="K107" s="1"/>
      <c r="L107" s="1"/>
      <c r="M107" s="1" t="s">
        <v>27</v>
      </c>
      <c r="N107" s="1"/>
      <c r="O107" s="1"/>
      <c r="P107" s="1" t="s">
        <v>28</v>
      </c>
      <c r="Q107" s="1" t="s">
        <v>58</v>
      </c>
      <c r="R107" s="1" t="s">
        <v>59</v>
      </c>
      <c r="S107" s="1">
        <v>20</v>
      </c>
      <c r="T107" s="1">
        <v>11248.89</v>
      </c>
      <c r="U107" s="1">
        <v>21</v>
      </c>
      <c r="V107" s="1">
        <v>13611.1569</v>
      </c>
      <c r="W107" s="1">
        <v>0</v>
      </c>
      <c r="X107" s="1">
        <v>0</v>
      </c>
      <c r="Y107" s="1">
        <v>0</v>
      </c>
      <c r="Z107" s="1">
        <v>224977.8</v>
      </c>
      <c r="AA107" s="1"/>
    </row>
    <row r="108" spans="1:27" hidden="1" x14ac:dyDescent="0.3">
      <c r="A108" s="1" t="s">
        <v>199</v>
      </c>
      <c r="B108" s="2">
        <v>45751</v>
      </c>
      <c r="C108" s="1" t="s">
        <v>25</v>
      </c>
      <c r="D108" s="1">
        <v>1</v>
      </c>
      <c r="E108" s="1">
        <v>-1258127.75</v>
      </c>
      <c r="F108" s="1">
        <v>0</v>
      </c>
      <c r="G108" s="1">
        <v>-218352.75</v>
      </c>
      <c r="H108" s="1">
        <v>-1039775</v>
      </c>
      <c r="I108" s="1" t="s">
        <v>26</v>
      </c>
      <c r="J108" s="1"/>
      <c r="K108" s="1"/>
      <c r="L108" s="1"/>
      <c r="M108" s="1" t="s">
        <v>27</v>
      </c>
      <c r="N108" s="1"/>
      <c r="O108" s="1"/>
      <c r="P108" s="1" t="s">
        <v>28</v>
      </c>
      <c r="Q108" s="1" t="s">
        <v>29</v>
      </c>
      <c r="R108" s="1" t="s">
        <v>30</v>
      </c>
      <c r="S108" s="1">
        <v>50</v>
      </c>
      <c r="T108" s="1">
        <v>7661.5</v>
      </c>
      <c r="U108" s="1">
        <v>21</v>
      </c>
      <c r="V108" s="1">
        <v>9270.4150000000009</v>
      </c>
      <c r="W108" s="1">
        <v>0</v>
      </c>
      <c r="X108" s="1">
        <v>0</v>
      </c>
      <c r="Y108" s="1">
        <v>0</v>
      </c>
      <c r="Z108" s="1">
        <v>383075</v>
      </c>
      <c r="AA108" s="1"/>
    </row>
    <row r="109" spans="1:27" hidden="1" x14ac:dyDescent="0.3">
      <c r="A109" s="1" t="s">
        <v>199</v>
      </c>
      <c r="B109" s="2">
        <v>45751</v>
      </c>
      <c r="C109" s="1" t="s">
        <v>25</v>
      </c>
      <c r="D109" s="1">
        <v>1</v>
      </c>
      <c r="E109" s="1">
        <v>-1258127.75</v>
      </c>
      <c r="F109" s="1">
        <v>0</v>
      </c>
      <c r="G109" s="1">
        <v>-218352.75</v>
      </c>
      <c r="H109" s="1">
        <v>-1039775</v>
      </c>
      <c r="I109" s="1" t="s">
        <v>26</v>
      </c>
      <c r="J109" s="1"/>
      <c r="K109" s="1"/>
      <c r="L109" s="1"/>
      <c r="M109" s="1" t="s">
        <v>27</v>
      </c>
      <c r="N109" s="1"/>
      <c r="O109" s="1"/>
      <c r="P109" s="1" t="s">
        <v>28</v>
      </c>
      <c r="Q109" s="1" t="s">
        <v>31</v>
      </c>
      <c r="R109" s="1" t="s">
        <v>32</v>
      </c>
      <c r="S109" s="1">
        <v>75</v>
      </c>
      <c r="T109" s="1">
        <v>8756</v>
      </c>
      <c r="U109" s="1">
        <v>21</v>
      </c>
      <c r="V109" s="1">
        <v>10594.76</v>
      </c>
      <c r="W109" s="1">
        <v>0</v>
      </c>
      <c r="X109" s="1">
        <v>0</v>
      </c>
      <c r="Y109" s="1">
        <v>0</v>
      </c>
      <c r="Z109" s="1">
        <v>656700</v>
      </c>
      <c r="AA109" s="1"/>
    </row>
    <row r="110" spans="1:27" x14ac:dyDescent="0.3">
      <c r="A110" s="1" t="s">
        <v>200</v>
      </c>
      <c r="B110" s="2">
        <v>45751</v>
      </c>
      <c r="C110" s="1" t="s">
        <v>25</v>
      </c>
      <c r="D110" s="1">
        <v>1</v>
      </c>
      <c r="E110" s="1">
        <v>4307219.3499999996</v>
      </c>
      <c r="F110" s="1">
        <v>0</v>
      </c>
      <c r="G110" s="1">
        <v>0</v>
      </c>
      <c r="H110" s="1">
        <v>4307219.3499999996</v>
      </c>
      <c r="I110" s="1" t="s">
        <v>26</v>
      </c>
      <c r="J110" s="1" t="s">
        <v>36</v>
      </c>
      <c r="K110" s="1"/>
      <c r="L110" s="1" t="s">
        <v>201</v>
      </c>
      <c r="M110" s="1" t="s">
        <v>27</v>
      </c>
      <c r="N110" s="1" t="s">
        <v>38</v>
      </c>
      <c r="O110" s="1"/>
      <c r="P110" s="1" t="s">
        <v>28</v>
      </c>
      <c r="Q110" s="1" t="s">
        <v>39</v>
      </c>
      <c r="R110" s="1" t="s">
        <v>202</v>
      </c>
      <c r="T110" s="1">
        <v>3149319.32</v>
      </c>
      <c r="AA110" s="1" t="s">
        <v>201</v>
      </c>
    </row>
    <row r="111" spans="1:27" x14ac:dyDescent="0.3">
      <c r="A111" s="1" t="s">
        <v>200</v>
      </c>
      <c r="B111" s="2">
        <v>45751</v>
      </c>
      <c r="C111" s="1" t="s">
        <v>25</v>
      </c>
      <c r="D111" s="1">
        <v>1</v>
      </c>
      <c r="E111" s="1">
        <v>4307219.3499999996</v>
      </c>
      <c r="F111" s="1">
        <v>0</v>
      </c>
      <c r="G111" s="1">
        <v>0</v>
      </c>
      <c r="H111" s="1">
        <v>4307219.3499999996</v>
      </c>
      <c r="I111" s="1" t="s">
        <v>26</v>
      </c>
      <c r="J111" s="1" t="s">
        <v>36</v>
      </c>
      <c r="K111" s="1"/>
      <c r="L111" s="1" t="s">
        <v>203</v>
      </c>
      <c r="M111" s="1" t="s">
        <v>27</v>
      </c>
      <c r="N111" s="1" t="s">
        <v>38</v>
      </c>
      <c r="O111" s="1"/>
      <c r="P111" s="1" t="s">
        <v>28</v>
      </c>
      <c r="Q111" s="1" t="s">
        <v>39</v>
      </c>
      <c r="R111" s="1" t="s">
        <v>204</v>
      </c>
      <c r="T111" s="1">
        <v>1157900.03</v>
      </c>
      <c r="AA111" s="1" t="s">
        <v>203</v>
      </c>
    </row>
    <row r="112" spans="1:27" hidden="1" x14ac:dyDescent="0.3">
      <c r="A112" s="1" t="s">
        <v>196</v>
      </c>
      <c r="B112" s="2">
        <v>45754</v>
      </c>
      <c r="C112" s="1" t="s">
        <v>25</v>
      </c>
      <c r="D112" s="1">
        <v>1</v>
      </c>
      <c r="E112" s="1">
        <v>-759675.57</v>
      </c>
      <c r="F112" s="1">
        <v>0</v>
      </c>
      <c r="G112" s="1">
        <v>-131844.51999999999</v>
      </c>
      <c r="H112" s="1">
        <v>-627831.05000000005</v>
      </c>
      <c r="I112" s="1" t="s">
        <v>26</v>
      </c>
      <c r="J112" s="1"/>
      <c r="K112" s="1"/>
      <c r="L112" s="1"/>
      <c r="M112" s="1" t="s">
        <v>27</v>
      </c>
      <c r="N112" s="1"/>
      <c r="O112" s="1"/>
      <c r="P112" s="1" t="s">
        <v>28</v>
      </c>
      <c r="Q112" s="1" t="s">
        <v>58</v>
      </c>
      <c r="R112" s="1" t="s">
        <v>59</v>
      </c>
      <c r="S112" s="1">
        <v>20</v>
      </c>
      <c r="T112" s="1">
        <v>11261.74</v>
      </c>
      <c r="U112" s="1">
        <v>21</v>
      </c>
      <c r="V112" s="1">
        <v>13626.705400000001</v>
      </c>
      <c r="W112" s="1">
        <v>0</v>
      </c>
      <c r="X112" s="1">
        <v>0</v>
      </c>
      <c r="Y112" s="1">
        <v>0</v>
      </c>
      <c r="Z112" s="1">
        <v>225234.8</v>
      </c>
      <c r="AA112" s="1"/>
    </row>
    <row r="113" spans="1:27" hidden="1" x14ac:dyDescent="0.3">
      <c r="A113" s="1" t="s">
        <v>196</v>
      </c>
      <c r="B113" s="2">
        <v>45754</v>
      </c>
      <c r="C113" s="1" t="s">
        <v>25</v>
      </c>
      <c r="D113" s="1">
        <v>1</v>
      </c>
      <c r="E113" s="1">
        <v>-759675.57</v>
      </c>
      <c r="F113" s="1">
        <v>0</v>
      </c>
      <c r="G113" s="1">
        <v>-131844.51999999999</v>
      </c>
      <c r="H113" s="1">
        <v>-627831.05000000005</v>
      </c>
      <c r="I113" s="1" t="s">
        <v>26</v>
      </c>
      <c r="J113" s="1"/>
      <c r="K113" s="1"/>
      <c r="L113" s="1"/>
      <c r="M113" s="1" t="s">
        <v>27</v>
      </c>
      <c r="N113" s="1"/>
      <c r="O113" s="1"/>
      <c r="P113" s="1" t="s">
        <v>28</v>
      </c>
      <c r="Q113" s="1" t="s">
        <v>197</v>
      </c>
      <c r="R113" s="1" t="s">
        <v>198</v>
      </c>
      <c r="S113" s="1">
        <v>25</v>
      </c>
      <c r="T113" s="1">
        <v>8983.1</v>
      </c>
      <c r="U113" s="1">
        <v>21</v>
      </c>
      <c r="V113" s="1">
        <v>10869.550999999999</v>
      </c>
      <c r="W113" s="1">
        <v>0</v>
      </c>
      <c r="X113" s="1">
        <v>0</v>
      </c>
      <c r="Y113" s="1">
        <v>0</v>
      </c>
      <c r="Z113" s="1">
        <v>224577.5</v>
      </c>
      <c r="AA113" s="1"/>
    </row>
    <row r="114" spans="1:27" hidden="1" x14ac:dyDescent="0.3">
      <c r="A114" s="1" t="s">
        <v>196</v>
      </c>
      <c r="B114" s="2">
        <v>45754</v>
      </c>
      <c r="C114" s="1" t="s">
        <v>25</v>
      </c>
      <c r="D114" s="1">
        <v>1</v>
      </c>
      <c r="E114" s="1">
        <v>-759675.57</v>
      </c>
      <c r="F114" s="1">
        <v>0</v>
      </c>
      <c r="G114" s="1">
        <v>-131844.51999999999</v>
      </c>
      <c r="H114" s="1">
        <v>-627831.05000000005</v>
      </c>
      <c r="I114" s="1" t="s">
        <v>26</v>
      </c>
      <c r="J114" s="1"/>
      <c r="K114" s="1"/>
      <c r="L114" s="1"/>
      <c r="M114" s="1" t="s">
        <v>27</v>
      </c>
      <c r="N114" s="1"/>
      <c r="O114" s="1"/>
      <c r="P114" s="1" t="s">
        <v>28</v>
      </c>
      <c r="Q114" s="1" t="s">
        <v>171</v>
      </c>
      <c r="R114" s="1" t="s">
        <v>172</v>
      </c>
      <c r="S114" s="1">
        <v>25</v>
      </c>
      <c r="T114" s="1">
        <v>7120.75</v>
      </c>
      <c r="U114" s="1">
        <v>21</v>
      </c>
      <c r="V114" s="1">
        <v>8616.1075000000001</v>
      </c>
      <c r="W114" s="1">
        <v>0</v>
      </c>
      <c r="X114" s="1">
        <v>0</v>
      </c>
      <c r="Y114" s="1">
        <v>0</v>
      </c>
      <c r="Z114" s="1">
        <v>178018.75</v>
      </c>
      <c r="AA114" s="1"/>
    </row>
    <row r="115" spans="1:27" hidden="1" x14ac:dyDescent="0.3">
      <c r="A115" s="1" t="s">
        <v>193</v>
      </c>
      <c r="B115" s="2">
        <v>45755</v>
      </c>
      <c r="C115" s="1" t="s">
        <v>25</v>
      </c>
      <c r="D115" s="1">
        <v>1</v>
      </c>
      <c r="E115" s="1">
        <v>-1535342.86</v>
      </c>
      <c r="F115" s="1">
        <v>0</v>
      </c>
      <c r="G115" s="1">
        <v>-266464.46000000002</v>
      </c>
      <c r="H115" s="1">
        <v>-1268878.3999999999</v>
      </c>
      <c r="I115" s="1" t="s">
        <v>26</v>
      </c>
      <c r="J115" s="1"/>
      <c r="K115" s="1"/>
      <c r="L115" s="1"/>
      <c r="M115" s="1" t="s">
        <v>27</v>
      </c>
      <c r="N115" s="1"/>
      <c r="O115" s="1"/>
      <c r="P115" s="1" t="s">
        <v>28</v>
      </c>
      <c r="Q115" s="1" t="s">
        <v>46</v>
      </c>
      <c r="R115" s="1" t="s">
        <v>47</v>
      </c>
      <c r="S115" s="1">
        <v>25</v>
      </c>
      <c r="T115" s="1">
        <v>6760.78</v>
      </c>
      <c r="U115" s="1">
        <v>21</v>
      </c>
      <c r="V115" s="1">
        <v>8180.5438000000004</v>
      </c>
      <c r="W115" s="1">
        <v>0</v>
      </c>
      <c r="X115" s="1">
        <v>0</v>
      </c>
      <c r="Y115" s="1">
        <v>0</v>
      </c>
      <c r="Z115" s="1">
        <v>169019.5</v>
      </c>
      <c r="AA115" s="1"/>
    </row>
    <row r="116" spans="1:27" hidden="1" x14ac:dyDescent="0.3">
      <c r="A116" s="1" t="s">
        <v>193</v>
      </c>
      <c r="B116" s="2">
        <v>45755</v>
      </c>
      <c r="C116" s="1" t="s">
        <v>25</v>
      </c>
      <c r="D116" s="1">
        <v>1</v>
      </c>
      <c r="E116" s="1">
        <v>-1535342.86</v>
      </c>
      <c r="F116" s="1">
        <v>0</v>
      </c>
      <c r="G116" s="1">
        <v>-266464.46000000002</v>
      </c>
      <c r="H116" s="1">
        <v>-1268878.3999999999</v>
      </c>
      <c r="I116" s="1" t="s">
        <v>26</v>
      </c>
      <c r="J116" s="1"/>
      <c r="K116" s="1"/>
      <c r="L116" s="1"/>
      <c r="M116" s="1" t="s">
        <v>27</v>
      </c>
      <c r="N116" s="1"/>
      <c r="O116" s="1"/>
      <c r="P116" s="1" t="s">
        <v>28</v>
      </c>
      <c r="Q116" s="1" t="s">
        <v>29</v>
      </c>
      <c r="R116" s="1" t="s">
        <v>30</v>
      </c>
      <c r="S116" s="1">
        <v>50</v>
      </c>
      <c r="T116" s="1">
        <v>7670.25</v>
      </c>
      <c r="U116" s="1">
        <v>21</v>
      </c>
      <c r="V116" s="1">
        <v>9281.0025000000005</v>
      </c>
      <c r="W116" s="1">
        <v>0</v>
      </c>
      <c r="X116" s="1">
        <v>0</v>
      </c>
      <c r="Y116" s="1">
        <v>0</v>
      </c>
      <c r="Z116" s="1">
        <v>383512.5</v>
      </c>
      <c r="AA116" s="1"/>
    </row>
    <row r="117" spans="1:27" hidden="1" x14ac:dyDescent="0.3">
      <c r="A117" s="1" t="s">
        <v>193</v>
      </c>
      <c r="B117" s="2">
        <v>45755</v>
      </c>
      <c r="C117" s="1" t="s">
        <v>25</v>
      </c>
      <c r="D117" s="1">
        <v>1</v>
      </c>
      <c r="E117" s="1">
        <v>-1535342.86</v>
      </c>
      <c r="F117" s="1">
        <v>0</v>
      </c>
      <c r="G117" s="1">
        <v>-266464.46000000002</v>
      </c>
      <c r="H117" s="1">
        <v>-1268878.3999999999</v>
      </c>
      <c r="I117" s="1" t="s">
        <v>26</v>
      </c>
      <c r="J117" s="1"/>
      <c r="K117" s="1"/>
      <c r="L117" s="1"/>
      <c r="M117" s="1" t="s">
        <v>27</v>
      </c>
      <c r="N117" s="1"/>
      <c r="O117" s="1"/>
      <c r="P117" s="1" t="s">
        <v>28</v>
      </c>
      <c r="Q117" s="1" t="s">
        <v>49</v>
      </c>
      <c r="R117" s="1" t="s">
        <v>50</v>
      </c>
      <c r="S117" s="1">
        <v>40</v>
      </c>
      <c r="T117" s="1">
        <v>10902.71</v>
      </c>
      <c r="U117" s="1">
        <v>21</v>
      </c>
      <c r="V117" s="1">
        <v>13192.2791</v>
      </c>
      <c r="W117" s="1">
        <v>0</v>
      </c>
      <c r="X117" s="1">
        <v>0</v>
      </c>
      <c r="Y117" s="1">
        <v>0</v>
      </c>
      <c r="Z117" s="1">
        <v>436108.4</v>
      </c>
      <c r="AA117" s="1"/>
    </row>
    <row r="118" spans="1:27" hidden="1" x14ac:dyDescent="0.3">
      <c r="A118" s="1" t="s">
        <v>193</v>
      </c>
      <c r="B118" s="2">
        <v>45755</v>
      </c>
      <c r="C118" s="1" t="s">
        <v>25</v>
      </c>
      <c r="D118" s="1">
        <v>1</v>
      </c>
      <c r="E118" s="1">
        <v>-1535342.86</v>
      </c>
      <c r="F118" s="1">
        <v>0</v>
      </c>
      <c r="G118" s="1">
        <v>-266464.46000000002</v>
      </c>
      <c r="H118" s="1">
        <v>-1268878.3999999999</v>
      </c>
      <c r="I118" s="1" t="s">
        <v>26</v>
      </c>
      <c r="J118" s="1"/>
      <c r="K118" s="1"/>
      <c r="L118" s="1"/>
      <c r="M118" s="1" t="s">
        <v>27</v>
      </c>
      <c r="N118" s="1"/>
      <c r="O118" s="1"/>
      <c r="P118" s="1" t="s">
        <v>28</v>
      </c>
      <c r="Q118" s="1" t="s">
        <v>194</v>
      </c>
      <c r="R118" s="1" t="s">
        <v>195</v>
      </c>
      <c r="S118" s="1">
        <v>25</v>
      </c>
      <c r="T118" s="1">
        <v>11209.52</v>
      </c>
      <c r="U118" s="1">
        <v>21</v>
      </c>
      <c r="V118" s="1">
        <v>13563.519200000001</v>
      </c>
      <c r="W118" s="1">
        <v>0</v>
      </c>
      <c r="X118" s="1">
        <v>0</v>
      </c>
      <c r="Y118" s="1">
        <v>0</v>
      </c>
      <c r="Z118" s="1">
        <v>280238</v>
      </c>
      <c r="AA118" s="1"/>
    </row>
    <row r="119" spans="1:27" hidden="1" x14ac:dyDescent="0.3">
      <c r="A119" s="1" t="s">
        <v>189</v>
      </c>
      <c r="B119" s="2">
        <v>45756</v>
      </c>
      <c r="C119" s="1" t="s">
        <v>25</v>
      </c>
      <c r="D119" s="1">
        <v>1</v>
      </c>
      <c r="E119" s="1">
        <v>-486833.34</v>
      </c>
      <c r="F119" s="1">
        <v>0</v>
      </c>
      <c r="G119" s="1">
        <v>-84491.74</v>
      </c>
      <c r="H119" s="1">
        <v>-402341.6</v>
      </c>
      <c r="I119" s="1" t="s">
        <v>26</v>
      </c>
      <c r="J119" s="1"/>
      <c r="K119" s="1"/>
      <c r="L119" s="1"/>
      <c r="M119" s="1" t="s">
        <v>27</v>
      </c>
      <c r="N119" s="1"/>
      <c r="O119" s="1"/>
      <c r="P119" s="1" t="s">
        <v>28</v>
      </c>
      <c r="Q119" s="1" t="s">
        <v>58</v>
      </c>
      <c r="R119" s="1" t="s">
        <v>59</v>
      </c>
      <c r="S119" s="1">
        <v>20</v>
      </c>
      <c r="T119" s="1">
        <v>11266.88</v>
      </c>
      <c r="U119" s="1">
        <v>21</v>
      </c>
      <c r="V119" s="1">
        <v>13632.924800000001</v>
      </c>
      <c r="W119" s="1">
        <v>0</v>
      </c>
      <c r="X119" s="1">
        <v>0</v>
      </c>
      <c r="Y119" s="1">
        <v>0</v>
      </c>
      <c r="Z119" s="1">
        <v>225337.60000000001</v>
      </c>
      <c r="AA119" s="1"/>
    </row>
    <row r="120" spans="1:27" hidden="1" x14ac:dyDescent="0.3">
      <c r="A120" s="1" t="s">
        <v>189</v>
      </c>
      <c r="B120" s="2">
        <v>45756</v>
      </c>
      <c r="C120" s="1" t="s">
        <v>25</v>
      </c>
      <c r="D120" s="1">
        <v>1</v>
      </c>
      <c r="E120" s="1">
        <v>-486833.34</v>
      </c>
      <c r="F120" s="1">
        <v>0</v>
      </c>
      <c r="G120" s="1">
        <v>-84491.74</v>
      </c>
      <c r="H120" s="1">
        <v>-402341.6</v>
      </c>
      <c r="I120" s="1" t="s">
        <v>26</v>
      </c>
      <c r="J120" s="1"/>
      <c r="K120" s="1"/>
      <c r="L120" s="1"/>
      <c r="M120" s="1" t="s">
        <v>27</v>
      </c>
      <c r="N120" s="1"/>
      <c r="O120" s="1"/>
      <c r="P120" s="1" t="s">
        <v>28</v>
      </c>
      <c r="Q120" s="1" t="s">
        <v>61</v>
      </c>
      <c r="R120" s="1" t="s">
        <v>62</v>
      </c>
      <c r="S120" s="1">
        <v>25</v>
      </c>
      <c r="T120" s="1">
        <v>7080.16</v>
      </c>
      <c r="U120" s="1">
        <v>21</v>
      </c>
      <c r="V120" s="1">
        <v>8566.9935999999998</v>
      </c>
      <c r="W120" s="1">
        <v>0</v>
      </c>
      <c r="X120" s="1">
        <v>0</v>
      </c>
      <c r="Y120" s="1">
        <v>0</v>
      </c>
      <c r="Z120" s="1">
        <v>177004</v>
      </c>
      <c r="AA120" s="1"/>
    </row>
    <row r="121" spans="1:27" hidden="1" x14ac:dyDescent="0.3">
      <c r="A121" s="1" t="s">
        <v>190</v>
      </c>
      <c r="B121" s="2">
        <v>45756</v>
      </c>
      <c r="C121" s="1" t="s">
        <v>25</v>
      </c>
      <c r="D121" s="1">
        <v>1</v>
      </c>
      <c r="E121" s="1">
        <v>-259264.28</v>
      </c>
      <c r="F121" s="1">
        <v>0</v>
      </c>
      <c r="G121" s="1">
        <v>-44996.28</v>
      </c>
      <c r="H121" s="1">
        <v>-214268</v>
      </c>
      <c r="I121" s="1" t="s">
        <v>26</v>
      </c>
      <c r="J121" s="1"/>
      <c r="K121" s="1"/>
      <c r="L121" s="1"/>
      <c r="M121" s="1" t="s">
        <v>27</v>
      </c>
      <c r="N121" s="1"/>
      <c r="O121" s="1"/>
      <c r="P121" s="1" t="s">
        <v>28</v>
      </c>
      <c r="Q121" s="1" t="s">
        <v>191</v>
      </c>
      <c r="R121" s="1" t="s">
        <v>192</v>
      </c>
      <c r="S121" s="1">
        <v>25</v>
      </c>
      <c r="T121" s="1">
        <v>8570.7199999999993</v>
      </c>
      <c r="U121" s="1">
        <v>21</v>
      </c>
      <c r="V121" s="1">
        <v>10370.5712</v>
      </c>
      <c r="W121" s="1">
        <v>0</v>
      </c>
      <c r="X121" s="1">
        <v>0</v>
      </c>
      <c r="Y121" s="1">
        <v>0</v>
      </c>
      <c r="Z121" s="1">
        <v>214268</v>
      </c>
      <c r="AA121" s="1"/>
    </row>
    <row r="122" spans="1:27" hidden="1" x14ac:dyDescent="0.3">
      <c r="A122" s="1" t="s">
        <v>188</v>
      </c>
      <c r="B122" s="2">
        <v>45757</v>
      </c>
      <c r="C122" s="1" t="s">
        <v>25</v>
      </c>
      <c r="D122" s="1">
        <v>1</v>
      </c>
      <c r="E122" s="1">
        <v>-1570226.68</v>
      </c>
      <c r="F122" s="1">
        <v>0</v>
      </c>
      <c r="G122" s="1">
        <v>-272518.68</v>
      </c>
      <c r="H122" s="1">
        <v>-1297708</v>
      </c>
      <c r="I122" s="1" t="s">
        <v>26</v>
      </c>
      <c r="J122" s="1"/>
      <c r="K122" s="1"/>
      <c r="L122" s="1"/>
      <c r="M122" s="1" t="s">
        <v>27</v>
      </c>
      <c r="N122" s="1"/>
      <c r="O122" s="1"/>
      <c r="P122" s="1" t="s">
        <v>28</v>
      </c>
      <c r="Q122" s="1" t="s">
        <v>46</v>
      </c>
      <c r="R122" s="1" t="s">
        <v>47</v>
      </c>
      <c r="S122" s="1">
        <v>50</v>
      </c>
      <c r="T122" s="1">
        <v>6765.41</v>
      </c>
      <c r="U122" s="1">
        <v>21</v>
      </c>
      <c r="V122" s="1">
        <v>8186.1460999999999</v>
      </c>
      <c r="W122" s="1">
        <v>0</v>
      </c>
      <c r="X122" s="1">
        <v>0</v>
      </c>
      <c r="Y122" s="1">
        <v>0</v>
      </c>
      <c r="Z122" s="1">
        <v>338270.5</v>
      </c>
      <c r="AA122" s="1"/>
    </row>
    <row r="123" spans="1:27" hidden="1" x14ac:dyDescent="0.3">
      <c r="A123" s="1" t="s">
        <v>188</v>
      </c>
      <c r="B123" s="2">
        <v>45757</v>
      </c>
      <c r="C123" s="1" t="s">
        <v>25</v>
      </c>
      <c r="D123" s="1">
        <v>1</v>
      </c>
      <c r="E123" s="1">
        <v>-1570226.68</v>
      </c>
      <c r="F123" s="1">
        <v>0</v>
      </c>
      <c r="G123" s="1">
        <v>-272518.68</v>
      </c>
      <c r="H123" s="1">
        <v>-1297708</v>
      </c>
      <c r="I123" s="1" t="s">
        <v>26</v>
      </c>
      <c r="J123" s="1"/>
      <c r="K123" s="1"/>
      <c r="L123" s="1"/>
      <c r="M123" s="1" t="s">
        <v>27</v>
      </c>
      <c r="N123" s="1"/>
      <c r="O123" s="1"/>
      <c r="P123" s="1" t="s">
        <v>28</v>
      </c>
      <c r="Q123" s="1" t="s">
        <v>29</v>
      </c>
      <c r="R123" s="1" t="s">
        <v>30</v>
      </c>
      <c r="S123" s="1">
        <v>125</v>
      </c>
      <c r="T123" s="1">
        <v>7675.5</v>
      </c>
      <c r="U123" s="1">
        <v>21</v>
      </c>
      <c r="V123" s="1">
        <v>9287.3549999999996</v>
      </c>
      <c r="W123" s="1">
        <v>0</v>
      </c>
      <c r="X123" s="1">
        <v>0</v>
      </c>
      <c r="Y123" s="1">
        <v>0</v>
      </c>
      <c r="Z123" s="1">
        <v>959437.5</v>
      </c>
      <c r="AA123" s="1"/>
    </row>
    <row r="124" spans="1:27" hidden="1" x14ac:dyDescent="0.3">
      <c r="A124" s="1" t="s">
        <v>187</v>
      </c>
      <c r="B124" s="2">
        <v>45758</v>
      </c>
      <c r="C124" s="1" t="s">
        <v>25</v>
      </c>
      <c r="D124" s="1">
        <v>1</v>
      </c>
      <c r="E124" s="1">
        <v>-464473.63</v>
      </c>
      <c r="F124" s="1">
        <v>0</v>
      </c>
      <c r="G124" s="1">
        <v>-80611.13</v>
      </c>
      <c r="H124" s="1">
        <v>-383862.5</v>
      </c>
      <c r="I124" s="1" t="s">
        <v>26</v>
      </c>
      <c r="J124" s="1"/>
      <c r="K124" s="1"/>
      <c r="L124" s="1"/>
      <c r="M124" s="1" t="s">
        <v>27</v>
      </c>
      <c r="N124" s="1"/>
      <c r="O124" s="1"/>
      <c r="P124" s="1" t="s">
        <v>28</v>
      </c>
      <c r="Q124" s="1" t="s">
        <v>29</v>
      </c>
      <c r="R124" s="1" t="s">
        <v>30</v>
      </c>
      <c r="S124" s="1">
        <v>50</v>
      </c>
      <c r="T124" s="1">
        <v>7677.25</v>
      </c>
      <c r="U124" s="1">
        <v>21</v>
      </c>
      <c r="V124" s="1">
        <v>9289.4724999999999</v>
      </c>
      <c r="W124" s="1">
        <v>0</v>
      </c>
      <c r="X124" s="1">
        <v>0</v>
      </c>
      <c r="Y124" s="1">
        <v>0</v>
      </c>
      <c r="Z124" s="1">
        <v>383862.5</v>
      </c>
      <c r="AA124" s="1"/>
    </row>
    <row r="125" spans="1:27" x14ac:dyDescent="0.3">
      <c r="A125" s="1" t="s">
        <v>178</v>
      </c>
      <c r="B125" s="2">
        <v>45761</v>
      </c>
      <c r="C125" s="1" t="s">
        <v>25</v>
      </c>
      <c r="D125" s="1">
        <v>1</v>
      </c>
      <c r="E125" s="1">
        <v>4885675.76</v>
      </c>
      <c r="F125" s="1">
        <v>0</v>
      </c>
      <c r="G125" s="1">
        <v>0</v>
      </c>
      <c r="H125" s="1">
        <v>4885675.76</v>
      </c>
      <c r="I125" s="1" t="s">
        <v>26</v>
      </c>
      <c r="J125" s="1" t="s">
        <v>36</v>
      </c>
      <c r="K125" s="1"/>
      <c r="L125" s="1" t="s">
        <v>179</v>
      </c>
      <c r="M125" s="1" t="s">
        <v>27</v>
      </c>
      <c r="N125" s="1" t="s">
        <v>38</v>
      </c>
      <c r="O125" s="1"/>
      <c r="P125" s="1" t="s">
        <v>28</v>
      </c>
      <c r="Q125" s="1" t="s">
        <v>39</v>
      </c>
      <c r="R125" s="1" t="s">
        <v>180</v>
      </c>
      <c r="T125" s="1">
        <v>816593.57</v>
      </c>
      <c r="AA125" s="1" t="s">
        <v>179</v>
      </c>
    </row>
    <row r="126" spans="1:27" x14ac:dyDescent="0.3">
      <c r="A126" s="1" t="s">
        <v>178</v>
      </c>
      <c r="B126" s="2">
        <v>45761</v>
      </c>
      <c r="C126" s="1" t="s">
        <v>25</v>
      </c>
      <c r="D126" s="1">
        <v>1</v>
      </c>
      <c r="E126" s="1">
        <v>4885675.76</v>
      </c>
      <c r="F126" s="1">
        <v>0</v>
      </c>
      <c r="G126" s="1">
        <v>0</v>
      </c>
      <c r="H126" s="1">
        <v>4885675.76</v>
      </c>
      <c r="I126" s="1" t="s">
        <v>26</v>
      </c>
      <c r="J126" s="1" t="s">
        <v>36</v>
      </c>
      <c r="K126" s="1"/>
      <c r="L126" s="1" t="s">
        <v>181</v>
      </c>
      <c r="M126" s="1" t="s">
        <v>27</v>
      </c>
      <c r="N126" s="1" t="s">
        <v>38</v>
      </c>
      <c r="O126" s="1"/>
      <c r="P126" s="1" t="s">
        <v>28</v>
      </c>
      <c r="Q126" s="1" t="s">
        <v>39</v>
      </c>
      <c r="R126" s="1" t="s">
        <v>182</v>
      </c>
      <c r="T126" s="1">
        <v>3086420.19</v>
      </c>
      <c r="AA126" s="1" t="s">
        <v>181</v>
      </c>
    </row>
    <row r="127" spans="1:27" x14ac:dyDescent="0.3">
      <c r="A127" s="1" t="s">
        <v>178</v>
      </c>
      <c r="B127" s="2">
        <v>45761</v>
      </c>
      <c r="C127" s="1" t="s">
        <v>25</v>
      </c>
      <c r="D127" s="1">
        <v>1</v>
      </c>
      <c r="E127" s="1">
        <v>4885675.76</v>
      </c>
      <c r="F127" s="1">
        <v>0</v>
      </c>
      <c r="G127" s="1">
        <v>0</v>
      </c>
      <c r="H127" s="1">
        <v>4885675.76</v>
      </c>
      <c r="I127" s="1" t="s">
        <v>26</v>
      </c>
      <c r="J127" s="1" t="s">
        <v>36</v>
      </c>
      <c r="K127" s="1"/>
      <c r="L127" s="1" t="s">
        <v>183</v>
      </c>
      <c r="M127" s="1" t="s">
        <v>27</v>
      </c>
      <c r="N127" s="1" t="s">
        <v>38</v>
      </c>
      <c r="O127" s="1"/>
      <c r="P127" s="1" t="s">
        <v>28</v>
      </c>
      <c r="Q127" s="1" t="s">
        <v>39</v>
      </c>
      <c r="R127" s="1" t="s">
        <v>184</v>
      </c>
      <c r="T127" s="1">
        <v>349151</v>
      </c>
      <c r="AA127" s="1" t="s">
        <v>183</v>
      </c>
    </row>
    <row r="128" spans="1:27" x14ac:dyDescent="0.3">
      <c r="A128" s="1" t="s">
        <v>178</v>
      </c>
      <c r="B128" s="2">
        <v>45761</v>
      </c>
      <c r="C128" s="1" t="s">
        <v>25</v>
      </c>
      <c r="D128" s="1">
        <v>1</v>
      </c>
      <c r="E128" s="1">
        <v>4885675.76</v>
      </c>
      <c r="F128" s="1">
        <v>0</v>
      </c>
      <c r="G128" s="1">
        <v>0</v>
      </c>
      <c r="H128" s="1">
        <v>4885675.76</v>
      </c>
      <c r="I128" s="1" t="s">
        <v>26</v>
      </c>
      <c r="J128" s="1" t="s">
        <v>36</v>
      </c>
      <c r="K128" s="1"/>
      <c r="L128" s="1" t="s">
        <v>185</v>
      </c>
      <c r="M128" s="1" t="s">
        <v>27</v>
      </c>
      <c r="N128" s="1" t="s">
        <v>38</v>
      </c>
      <c r="O128" s="1"/>
      <c r="P128" s="1" t="s">
        <v>28</v>
      </c>
      <c r="Q128" s="1" t="s">
        <v>39</v>
      </c>
      <c r="R128" s="1" t="s">
        <v>186</v>
      </c>
      <c r="T128" s="1">
        <v>633511</v>
      </c>
      <c r="AA128" s="1" t="s">
        <v>185</v>
      </c>
    </row>
    <row r="129" spans="1:27" hidden="1" x14ac:dyDescent="0.3">
      <c r="A129" s="1" t="s">
        <v>176</v>
      </c>
      <c r="B129" s="2">
        <v>45762</v>
      </c>
      <c r="C129" s="1" t="s">
        <v>25</v>
      </c>
      <c r="D129" s="1">
        <v>1</v>
      </c>
      <c r="E129" s="1">
        <v>-890003.4</v>
      </c>
      <c r="F129" s="1">
        <v>0</v>
      </c>
      <c r="G129" s="1">
        <v>-154463.4</v>
      </c>
      <c r="H129" s="1">
        <v>-735540</v>
      </c>
      <c r="I129" s="1" t="s">
        <v>26</v>
      </c>
      <c r="J129" s="1"/>
      <c r="K129" s="1"/>
      <c r="L129" s="1"/>
      <c r="M129" s="1" t="s">
        <v>27</v>
      </c>
      <c r="N129" s="1"/>
      <c r="O129" s="1"/>
      <c r="P129" s="1" t="s">
        <v>28</v>
      </c>
      <c r="Q129" s="1" t="s">
        <v>49</v>
      </c>
      <c r="R129" s="1" t="s">
        <v>50</v>
      </c>
      <c r="S129" s="1">
        <v>40</v>
      </c>
      <c r="T129" s="1">
        <v>12238.5</v>
      </c>
      <c r="U129" s="1">
        <v>21</v>
      </c>
      <c r="V129" s="1">
        <v>14808.584999999999</v>
      </c>
      <c r="W129" s="1">
        <v>0</v>
      </c>
      <c r="X129" s="1">
        <v>0</v>
      </c>
      <c r="Y129" s="1">
        <v>0</v>
      </c>
      <c r="Z129" s="1">
        <v>489540</v>
      </c>
      <c r="AA129" s="1"/>
    </row>
    <row r="130" spans="1:27" hidden="1" x14ac:dyDescent="0.3">
      <c r="A130" s="1" t="s">
        <v>176</v>
      </c>
      <c r="B130" s="2">
        <v>45762</v>
      </c>
      <c r="C130" s="1" t="s">
        <v>25</v>
      </c>
      <c r="D130" s="1">
        <v>1</v>
      </c>
      <c r="E130" s="1">
        <v>-890003.4</v>
      </c>
      <c r="F130" s="1">
        <v>0</v>
      </c>
      <c r="G130" s="1">
        <v>-154463.4</v>
      </c>
      <c r="H130" s="1">
        <v>-735540</v>
      </c>
      <c r="I130" s="1" t="s">
        <v>26</v>
      </c>
      <c r="J130" s="1"/>
      <c r="K130" s="1"/>
      <c r="L130" s="1"/>
      <c r="M130" s="1" t="s">
        <v>27</v>
      </c>
      <c r="N130" s="1"/>
      <c r="O130" s="1"/>
      <c r="P130" s="1" t="s">
        <v>28</v>
      </c>
      <c r="Q130" s="1" t="s">
        <v>31</v>
      </c>
      <c r="R130" s="1" t="s">
        <v>32</v>
      </c>
      <c r="S130" s="1">
        <v>25</v>
      </c>
      <c r="T130" s="1">
        <v>9840</v>
      </c>
      <c r="U130" s="1">
        <v>21</v>
      </c>
      <c r="V130" s="1">
        <v>11906.4</v>
      </c>
      <c r="W130" s="1">
        <v>0</v>
      </c>
      <c r="X130" s="1">
        <v>0</v>
      </c>
      <c r="Y130" s="1">
        <v>0</v>
      </c>
      <c r="Z130" s="1">
        <v>246000</v>
      </c>
      <c r="AA130" s="1"/>
    </row>
    <row r="131" spans="1:27" hidden="1" x14ac:dyDescent="0.3">
      <c r="A131" s="1" t="s">
        <v>177</v>
      </c>
      <c r="B131" s="2">
        <v>45762</v>
      </c>
      <c r="C131" s="1" t="s">
        <v>25</v>
      </c>
      <c r="D131" s="1">
        <v>1</v>
      </c>
      <c r="E131" s="1">
        <v>-2129161.98</v>
      </c>
      <c r="F131" s="1">
        <v>0</v>
      </c>
      <c r="G131" s="1">
        <v>-369523.98</v>
      </c>
      <c r="H131" s="1">
        <v>-1759638</v>
      </c>
      <c r="I131" s="1" t="s">
        <v>26</v>
      </c>
      <c r="J131" s="1"/>
      <c r="K131" s="1"/>
      <c r="L131" s="1"/>
      <c r="M131" s="1" t="s">
        <v>27</v>
      </c>
      <c r="N131" s="1"/>
      <c r="O131" s="1"/>
      <c r="P131" s="1" t="s">
        <v>28</v>
      </c>
      <c r="Q131" s="1" t="s">
        <v>29</v>
      </c>
      <c r="R131" s="1" t="s">
        <v>30</v>
      </c>
      <c r="S131" s="1">
        <v>125</v>
      </c>
      <c r="T131" s="1">
        <v>8610</v>
      </c>
      <c r="U131" s="1">
        <v>21</v>
      </c>
      <c r="V131" s="1">
        <v>10418.1</v>
      </c>
      <c r="W131" s="1">
        <v>0</v>
      </c>
      <c r="X131" s="1">
        <v>0</v>
      </c>
      <c r="Y131" s="1">
        <v>0</v>
      </c>
      <c r="Z131" s="1">
        <v>1076250</v>
      </c>
      <c r="AA131" s="1"/>
    </row>
    <row r="132" spans="1:27" hidden="1" x14ac:dyDescent="0.3">
      <c r="A132" s="1" t="s">
        <v>177</v>
      </c>
      <c r="B132" s="2">
        <v>45762</v>
      </c>
      <c r="C132" s="1" t="s">
        <v>25</v>
      </c>
      <c r="D132" s="1">
        <v>1</v>
      </c>
      <c r="E132" s="1">
        <v>-2129161.98</v>
      </c>
      <c r="F132" s="1">
        <v>0</v>
      </c>
      <c r="G132" s="1">
        <v>-369523.98</v>
      </c>
      <c r="H132" s="1">
        <v>-1759638</v>
      </c>
      <c r="I132" s="1" t="s">
        <v>26</v>
      </c>
      <c r="J132" s="1"/>
      <c r="K132" s="1"/>
      <c r="L132" s="1"/>
      <c r="M132" s="1" t="s">
        <v>27</v>
      </c>
      <c r="N132" s="1"/>
      <c r="O132" s="1"/>
      <c r="P132" s="1" t="s">
        <v>28</v>
      </c>
      <c r="Q132" s="1" t="s">
        <v>29</v>
      </c>
      <c r="R132" s="1" t="s">
        <v>30</v>
      </c>
      <c r="S132" s="1">
        <v>50</v>
      </c>
      <c r="T132" s="1">
        <v>8610</v>
      </c>
      <c r="U132" s="1">
        <v>21</v>
      </c>
      <c r="V132" s="1">
        <v>10418.1</v>
      </c>
      <c r="W132" s="1">
        <v>0</v>
      </c>
      <c r="X132" s="1">
        <v>0</v>
      </c>
      <c r="Y132" s="1">
        <v>0</v>
      </c>
      <c r="Z132" s="1">
        <v>430500</v>
      </c>
      <c r="AA132" s="1"/>
    </row>
    <row r="133" spans="1:27" hidden="1" x14ac:dyDescent="0.3">
      <c r="A133" s="1" t="s">
        <v>177</v>
      </c>
      <c r="B133" s="2">
        <v>45762</v>
      </c>
      <c r="C133" s="1" t="s">
        <v>25</v>
      </c>
      <c r="D133" s="1">
        <v>1</v>
      </c>
      <c r="E133" s="1">
        <v>-2129161.98</v>
      </c>
      <c r="F133" s="1">
        <v>0</v>
      </c>
      <c r="G133" s="1">
        <v>-369523.98</v>
      </c>
      <c r="H133" s="1">
        <v>-1759638</v>
      </c>
      <c r="I133" s="1" t="s">
        <v>26</v>
      </c>
      <c r="J133" s="1"/>
      <c r="K133" s="1"/>
      <c r="L133" s="1"/>
      <c r="M133" s="1" t="s">
        <v>27</v>
      </c>
      <c r="N133" s="1"/>
      <c r="O133" s="1"/>
      <c r="P133" s="1" t="s">
        <v>28</v>
      </c>
      <c r="Q133" s="1" t="s">
        <v>58</v>
      </c>
      <c r="R133" s="1" t="s">
        <v>59</v>
      </c>
      <c r="S133" s="1">
        <v>20</v>
      </c>
      <c r="T133" s="1">
        <v>12644.4</v>
      </c>
      <c r="U133" s="1">
        <v>21</v>
      </c>
      <c r="V133" s="1">
        <v>15299.724</v>
      </c>
      <c r="W133" s="1">
        <v>0</v>
      </c>
      <c r="X133" s="1">
        <v>0</v>
      </c>
      <c r="Y133" s="1">
        <v>0</v>
      </c>
      <c r="Z133" s="1">
        <v>252888</v>
      </c>
      <c r="AA133" s="1"/>
    </row>
    <row r="134" spans="1:27" hidden="1" x14ac:dyDescent="0.3">
      <c r="A134" s="1" t="s">
        <v>169</v>
      </c>
      <c r="B134" s="2">
        <v>45763</v>
      </c>
      <c r="C134" s="1" t="s">
        <v>25</v>
      </c>
      <c r="D134" s="1">
        <v>1</v>
      </c>
      <c r="E134" s="1">
        <v>-305994.48</v>
      </c>
      <c r="F134" s="1">
        <v>0</v>
      </c>
      <c r="G134" s="1">
        <v>-53106.48</v>
      </c>
      <c r="H134" s="1">
        <v>-252888</v>
      </c>
      <c r="I134" s="1" t="s">
        <v>26</v>
      </c>
      <c r="J134" s="1"/>
      <c r="K134" s="1"/>
      <c r="L134" s="1"/>
      <c r="M134" s="1" t="s">
        <v>27</v>
      </c>
      <c r="N134" s="1"/>
      <c r="O134" s="1"/>
      <c r="P134" s="1" t="s">
        <v>28</v>
      </c>
      <c r="Q134" s="1" t="s">
        <v>58</v>
      </c>
      <c r="R134" s="1" t="s">
        <v>59</v>
      </c>
      <c r="S134" s="1">
        <v>20</v>
      </c>
      <c r="T134" s="1">
        <v>12644.4</v>
      </c>
      <c r="U134" s="1">
        <v>21</v>
      </c>
      <c r="V134" s="1">
        <v>15299.724</v>
      </c>
      <c r="W134" s="1">
        <v>0</v>
      </c>
      <c r="X134" s="1">
        <v>0</v>
      </c>
      <c r="Y134" s="1">
        <v>0</v>
      </c>
      <c r="Z134" s="1">
        <v>252888</v>
      </c>
      <c r="AA134" s="1"/>
    </row>
    <row r="135" spans="1:27" hidden="1" x14ac:dyDescent="0.3">
      <c r="A135" s="1" t="s">
        <v>170</v>
      </c>
      <c r="B135" s="2">
        <v>45763</v>
      </c>
      <c r="C135" s="1" t="s">
        <v>25</v>
      </c>
      <c r="D135" s="1">
        <v>1</v>
      </c>
      <c r="E135" s="1">
        <v>-2083620</v>
      </c>
      <c r="F135" s="1">
        <v>0</v>
      </c>
      <c r="G135" s="1">
        <v>-361620</v>
      </c>
      <c r="H135" s="1">
        <v>-1722000</v>
      </c>
      <c r="I135" s="1" t="s">
        <v>26</v>
      </c>
      <c r="J135" s="1"/>
      <c r="K135" s="1"/>
      <c r="L135" s="1"/>
      <c r="M135" s="1" t="s">
        <v>27</v>
      </c>
      <c r="N135" s="1"/>
      <c r="O135" s="1"/>
      <c r="P135" s="1" t="s">
        <v>28</v>
      </c>
      <c r="Q135" s="1" t="s">
        <v>29</v>
      </c>
      <c r="R135" s="1" t="s">
        <v>30</v>
      </c>
      <c r="S135" s="1">
        <v>100</v>
      </c>
      <c r="T135" s="1">
        <v>9225</v>
      </c>
      <c r="U135" s="1">
        <v>21</v>
      </c>
      <c r="V135" s="1">
        <v>11162.25</v>
      </c>
      <c r="W135" s="1">
        <v>0</v>
      </c>
      <c r="X135" s="1">
        <v>0</v>
      </c>
      <c r="Y135" s="1">
        <v>0</v>
      </c>
      <c r="Z135" s="1">
        <v>922500</v>
      </c>
      <c r="AA135" s="1"/>
    </row>
    <row r="136" spans="1:27" hidden="1" x14ac:dyDescent="0.3">
      <c r="A136" s="1" t="s">
        <v>170</v>
      </c>
      <c r="B136" s="2">
        <v>45763</v>
      </c>
      <c r="C136" s="1" t="s">
        <v>25</v>
      </c>
      <c r="D136" s="1">
        <v>1</v>
      </c>
      <c r="E136" s="1">
        <v>-2083620</v>
      </c>
      <c r="F136" s="1">
        <v>0</v>
      </c>
      <c r="G136" s="1">
        <v>-361620</v>
      </c>
      <c r="H136" s="1">
        <v>-1722000</v>
      </c>
      <c r="I136" s="1" t="s">
        <v>26</v>
      </c>
      <c r="J136" s="1"/>
      <c r="K136" s="1"/>
      <c r="L136" s="1"/>
      <c r="M136" s="1" t="s">
        <v>27</v>
      </c>
      <c r="N136" s="1"/>
      <c r="O136" s="1"/>
      <c r="P136" s="1" t="s">
        <v>28</v>
      </c>
      <c r="Q136" s="1" t="s">
        <v>171</v>
      </c>
      <c r="R136" s="1" t="s">
        <v>172</v>
      </c>
      <c r="S136" s="1">
        <v>100</v>
      </c>
      <c r="T136" s="1">
        <v>7995</v>
      </c>
      <c r="U136" s="1">
        <v>21</v>
      </c>
      <c r="V136" s="1">
        <v>9673.9500000000007</v>
      </c>
      <c r="W136" s="1">
        <v>0</v>
      </c>
      <c r="X136" s="1">
        <v>0</v>
      </c>
      <c r="Y136" s="1">
        <v>0</v>
      </c>
      <c r="Z136" s="1">
        <v>799500</v>
      </c>
      <c r="AA136" s="1"/>
    </row>
    <row r="137" spans="1:27" hidden="1" x14ac:dyDescent="0.3">
      <c r="A137" s="1" t="s">
        <v>173</v>
      </c>
      <c r="B137" s="2">
        <v>45763</v>
      </c>
      <c r="C137" s="1" t="s">
        <v>25</v>
      </c>
      <c r="D137" s="1">
        <v>1</v>
      </c>
      <c r="E137" s="1">
        <v>74415</v>
      </c>
      <c r="F137" s="1">
        <v>0</v>
      </c>
      <c r="G137" s="1">
        <v>12915</v>
      </c>
      <c r="H137" s="1">
        <v>61500</v>
      </c>
      <c r="I137" s="1" t="s">
        <v>26</v>
      </c>
      <c r="J137" s="1"/>
      <c r="K137" s="1"/>
      <c r="L137" s="1"/>
      <c r="M137" s="1" t="s">
        <v>27</v>
      </c>
      <c r="N137" s="1"/>
      <c r="O137" s="1"/>
      <c r="P137" s="1" t="s">
        <v>28</v>
      </c>
      <c r="Q137" s="1" t="s">
        <v>174</v>
      </c>
      <c r="R137" s="1" t="s">
        <v>175</v>
      </c>
      <c r="S137" s="1">
        <v>1</v>
      </c>
      <c r="T137" s="1">
        <v>61500</v>
      </c>
      <c r="U137" s="1">
        <v>21</v>
      </c>
      <c r="V137" s="1">
        <v>74415</v>
      </c>
      <c r="W137" s="1">
        <v>0</v>
      </c>
      <c r="X137" s="1">
        <v>0</v>
      </c>
      <c r="Y137" s="1">
        <v>0</v>
      </c>
      <c r="Z137" s="1">
        <v>61500</v>
      </c>
      <c r="AA137" s="1"/>
    </row>
    <row r="138" spans="1:27" hidden="1" x14ac:dyDescent="0.3">
      <c r="A138" s="1" t="s">
        <v>166</v>
      </c>
      <c r="B138" s="2">
        <v>45764</v>
      </c>
      <c r="C138" s="1" t="s">
        <v>25</v>
      </c>
      <c r="D138" s="1">
        <v>1</v>
      </c>
      <c r="E138" s="1">
        <v>-1774501.3</v>
      </c>
      <c r="F138" s="1">
        <v>0</v>
      </c>
      <c r="G138" s="1">
        <v>-307971.3</v>
      </c>
      <c r="H138" s="1">
        <v>-1466530</v>
      </c>
      <c r="I138" s="1" t="s">
        <v>26</v>
      </c>
      <c r="J138" s="1"/>
      <c r="K138" s="1"/>
      <c r="L138" s="1"/>
      <c r="M138" s="1" t="s">
        <v>27</v>
      </c>
      <c r="N138" s="1"/>
      <c r="O138" s="1"/>
      <c r="P138" s="1" t="s">
        <v>28</v>
      </c>
      <c r="Q138" s="1" t="s">
        <v>46</v>
      </c>
      <c r="R138" s="1" t="s">
        <v>47</v>
      </c>
      <c r="S138" s="1">
        <v>25</v>
      </c>
      <c r="T138" s="1">
        <v>7157.2</v>
      </c>
      <c r="U138" s="1">
        <v>21</v>
      </c>
      <c r="V138" s="1">
        <v>8660.2119999999995</v>
      </c>
      <c r="W138" s="1">
        <v>0</v>
      </c>
      <c r="X138" s="1">
        <v>0</v>
      </c>
      <c r="Y138" s="1">
        <v>0</v>
      </c>
      <c r="Z138" s="1">
        <v>178930</v>
      </c>
      <c r="AA138" s="1"/>
    </row>
    <row r="139" spans="1:27" hidden="1" x14ac:dyDescent="0.3">
      <c r="A139" s="1" t="s">
        <v>166</v>
      </c>
      <c r="B139" s="2">
        <v>45764</v>
      </c>
      <c r="C139" s="1" t="s">
        <v>25</v>
      </c>
      <c r="D139" s="1">
        <v>1</v>
      </c>
      <c r="E139" s="1">
        <v>-1774501.3</v>
      </c>
      <c r="F139" s="1">
        <v>0</v>
      </c>
      <c r="G139" s="1">
        <v>-307971.3</v>
      </c>
      <c r="H139" s="1">
        <v>-1466530</v>
      </c>
      <c r="I139" s="1" t="s">
        <v>26</v>
      </c>
      <c r="J139" s="1"/>
      <c r="K139" s="1"/>
      <c r="L139" s="1"/>
      <c r="M139" s="1" t="s">
        <v>27</v>
      </c>
      <c r="N139" s="1"/>
      <c r="O139" s="1"/>
      <c r="P139" s="1" t="s">
        <v>28</v>
      </c>
      <c r="Q139" s="1" t="s">
        <v>29</v>
      </c>
      <c r="R139" s="1" t="s">
        <v>30</v>
      </c>
      <c r="S139" s="1">
        <v>50</v>
      </c>
      <c r="T139" s="1">
        <v>8120</v>
      </c>
      <c r="U139" s="1">
        <v>21</v>
      </c>
      <c r="V139" s="1">
        <v>9825.2000000000007</v>
      </c>
      <c r="W139" s="1">
        <v>0</v>
      </c>
      <c r="X139" s="1">
        <v>0</v>
      </c>
      <c r="Y139" s="1">
        <v>0</v>
      </c>
      <c r="Z139" s="1">
        <v>406000</v>
      </c>
      <c r="AA139" s="1"/>
    </row>
    <row r="140" spans="1:27" hidden="1" x14ac:dyDescent="0.3">
      <c r="A140" s="1" t="s">
        <v>166</v>
      </c>
      <c r="B140" s="2">
        <v>45764</v>
      </c>
      <c r="C140" s="1" t="s">
        <v>25</v>
      </c>
      <c r="D140" s="1">
        <v>1</v>
      </c>
      <c r="E140" s="1">
        <v>-1774501.3</v>
      </c>
      <c r="F140" s="1">
        <v>0</v>
      </c>
      <c r="G140" s="1">
        <v>-307971.3</v>
      </c>
      <c r="H140" s="1">
        <v>-1466530</v>
      </c>
      <c r="I140" s="1" t="s">
        <v>26</v>
      </c>
      <c r="J140" s="1"/>
      <c r="K140" s="1"/>
      <c r="L140" s="1"/>
      <c r="M140" s="1" t="s">
        <v>27</v>
      </c>
      <c r="N140" s="1"/>
      <c r="O140" s="1"/>
      <c r="P140" s="1" t="s">
        <v>28</v>
      </c>
      <c r="Q140" s="1" t="s">
        <v>167</v>
      </c>
      <c r="R140" s="1" t="s">
        <v>168</v>
      </c>
      <c r="S140" s="1">
        <v>10</v>
      </c>
      <c r="T140" s="1">
        <v>18560</v>
      </c>
      <c r="U140" s="1">
        <v>21</v>
      </c>
      <c r="V140" s="1">
        <v>22457.599999999999</v>
      </c>
      <c r="W140" s="1">
        <v>0</v>
      </c>
      <c r="X140" s="1">
        <v>0</v>
      </c>
      <c r="Y140" s="1">
        <v>0</v>
      </c>
      <c r="Z140" s="1">
        <v>185600</v>
      </c>
      <c r="AA140" s="1"/>
    </row>
    <row r="141" spans="1:27" hidden="1" x14ac:dyDescent="0.3">
      <c r="A141" s="1" t="s">
        <v>166</v>
      </c>
      <c r="B141" s="2">
        <v>45764</v>
      </c>
      <c r="C141" s="1" t="s">
        <v>25</v>
      </c>
      <c r="D141" s="1">
        <v>1</v>
      </c>
      <c r="E141" s="1">
        <v>-1774501.3</v>
      </c>
      <c r="F141" s="1">
        <v>0</v>
      </c>
      <c r="G141" s="1">
        <v>-307971.3</v>
      </c>
      <c r="H141" s="1">
        <v>-1466530</v>
      </c>
      <c r="I141" s="1" t="s">
        <v>26</v>
      </c>
      <c r="J141" s="1"/>
      <c r="K141" s="1"/>
      <c r="L141" s="1"/>
      <c r="M141" s="1" t="s">
        <v>27</v>
      </c>
      <c r="N141" s="1"/>
      <c r="O141" s="1"/>
      <c r="P141" s="1" t="s">
        <v>28</v>
      </c>
      <c r="Q141" s="1" t="s">
        <v>31</v>
      </c>
      <c r="R141" s="1" t="s">
        <v>32</v>
      </c>
      <c r="S141" s="1">
        <v>75</v>
      </c>
      <c r="T141" s="1">
        <v>9280</v>
      </c>
      <c r="U141" s="1">
        <v>21</v>
      </c>
      <c r="V141" s="1">
        <v>11228.8</v>
      </c>
      <c r="W141" s="1">
        <v>0</v>
      </c>
      <c r="X141" s="1">
        <v>0</v>
      </c>
      <c r="Y141" s="1">
        <v>0</v>
      </c>
      <c r="Z141" s="1">
        <v>696000</v>
      </c>
      <c r="AA141" s="1"/>
    </row>
    <row r="142" spans="1:27" hidden="1" x14ac:dyDescent="0.3">
      <c r="A142" s="1" t="s">
        <v>165</v>
      </c>
      <c r="B142" s="2">
        <v>45768</v>
      </c>
      <c r="C142" s="1" t="s">
        <v>25</v>
      </c>
      <c r="D142" s="1">
        <v>1</v>
      </c>
      <c r="E142" s="1">
        <v>-803841.72</v>
      </c>
      <c r="F142" s="1">
        <v>0</v>
      </c>
      <c r="G142" s="1">
        <v>-139509.72</v>
      </c>
      <c r="H142" s="1">
        <v>-664332</v>
      </c>
      <c r="I142" s="1" t="s">
        <v>26</v>
      </c>
      <c r="J142" s="1"/>
      <c r="K142" s="1"/>
      <c r="L142" s="1"/>
      <c r="M142" s="1" t="s">
        <v>27</v>
      </c>
      <c r="N142" s="1"/>
      <c r="O142" s="1"/>
      <c r="P142" s="1" t="s">
        <v>28</v>
      </c>
      <c r="Q142" s="1" t="s">
        <v>58</v>
      </c>
      <c r="R142" s="1" t="s">
        <v>59</v>
      </c>
      <c r="S142" s="1">
        <v>40</v>
      </c>
      <c r="T142" s="1">
        <v>11924.8</v>
      </c>
      <c r="U142" s="1">
        <v>21</v>
      </c>
      <c r="V142" s="1">
        <v>14429.008</v>
      </c>
      <c r="W142" s="1">
        <v>0</v>
      </c>
      <c r="X142" s="1">
        <v>0</v>
      </c>
      <c r="Y142" s="1">
        <v>0</v>
      </c>
      <c r="Z142" s="1">
        <v>476992</v>
      </c>
      <c r="AA142" s="1"/>
    </row>
    <row r="143" spans="1:27" hidden="1" x14ac:dyDescent="0.3">
      <c r="A143" s="1" t="s">
        <v>165</v>
      </c>
      <c r="B143" s="2">
        <v>45768</v>
      </c>
      <c r="C143" s="1" t="s">
        <v>25</v>
      </c>
      <c r="D143" s="1">
        <v>1</v>
      </c>
      <c r="E143" s="1">
        <v>-803841.72</v>
      </c>
      <c r="F143" s="1">
        <v>0</v>
      </c>
      <c r="G143" s="1">
        <v>-139509.72</v>
      </c>
      <c r="H143" s="1">
        <v>-664332</v>
      </c>
      <c r="I143" s="1" t="s">
        <v>26</v>
      </c>
      <c r="J143" s="1"/>
      <c r="K143" s="1"/>
      <c r="L143" s="1"/>
      <c r="M143" s="1" t="s">
        <v>27</v>
      </c>
      <c r="N143" s="1"/>
      <c r="O143" s="1"/>
      <c r="P143" s="1" t="s">
        <v>28</v>
      </c>
      <c r="Q143" s="1" t="s">
        <v>61</v>
      </c>
      <c r="R143" s="1" t="s">
        <v>62</v>
      </c>
      <c r="S143" s="1">
        <v>25</v>
      </c>
      <c r="T143" s="1">
        <v>7493.6</v>
      </c>
      <c r="U143" s="1">
        <v>21</v>
      </c>
      <c r="V143" s="1">
        <v>9067.2559999999994</v>
      </c>
      <c r="W143" s="1">
        <v>0</v>
      </c>
      <c r="X143" s="1">
        <v>0</v>
      </c>
      <c r="Y143" s="1">
        <v>0</v>
      </c>
      <c r="Z143" s="1">
        <v>187340</v>
      </c>
      <c r="AA143" s="1"/>
    </row>
    <row r="144" spans="1:27" hidden="1" x14ac:dyDescent="0.3">
      <c r="A144" s="1" t="s">
        <v>161</v>
      </c>
      <c r="B144" s="2">
        <v>45769</v>
      </c>
      <c r="C144" s="1" t="s">
        <v>25</v>
      </c>
      <c r="D144" s="1">
        <v>1</v>
      </c>
      <c r="E144" s="1">
        <v>-1533820.2</v>
      </c>
      <c r="F144" s="1">
        <v>0</v>
      </c>
      <c r="G144" s="1">
        <v>-266200.2</v>
      </c>
      <c r="H144" s="1">
        <v>-1267620</v>
      </c>
      <c r="I144" s="1" t="s">
        <v>26</v>
      </c>
      <c r="J144" s="1"/>
      <c r="K144" s="1"/>
      <c r="L144" s="1"/>
      <c r="M144" s="1" t="s">
        <v>27</v>
      </c>
      <c r="N144" s="1"/>
      <c r="O144" s="1"/>
      <c r="P144" s="1" t="s">
        <v>28</v>
      </c>
      <c r="Q144" s="1" t="s">
        <v>46</v>
      </c>
      <c r="R144" s="1" t="s">
        <v>47</v>
      </c>
      <c r="S144" s="1">
        <v>100</v>
      </c>
      <c r="T144" s="1">
        <v>6848.7</v>
      </c>
      <c r="U144" s="1">
        <v>21</v>
      </c>
      <c r="V144" s="1">
        <v>8286.9269999999997</v>
      </c>
      <c r="W144" s="1">
        <v>0</v>
      </c>
      <c r="X144" s="1">
        <v>0</v>
      </c>
      <c r="Y144" s="1">
        <v>0</v>
      </c>
      <c r="Z144" s="1">
        <v>684870</v>
      </c>
      <c r="AA144" s="1"/>
    </row>
    <row r="145" spans="1:27" hidden="1" x14ac:dyDescent="0.3">
      <c r="A145" s="1" t="s">
        <v>161</v>
      </c>
      <c r="B145" s="2">
        <v>45769</v>
      </c>
      <c r="C145" s="1" t="s">
        <v>25</v>
      </c>
      <c r="D145" s="1">
        <v>1</v>
      </c>
      <c r="E145" s="1">
        <v>-1533820.2</v>
      </c>
      <c r="F145" s="1">
        <v>0</v>
      </c>
      <c r="G145" s="1">
        <v>-266200.2</v>
      </c>
      <c r="H145" s="1">
        <v>-1267620</v>
      </c>
      <c r="I145" s="1" t="s">
        <v>26</v>
      </c>
      <c r="J145" s="1"/>
      <c r="K145" s="1"/>
      <c r="L145" s="1"/>
      <c r="M145" s="1" t="s">
        <v>27</v>
      </c>
      <c r="N145" s="1"/>
      <c r="O145" s="1"/>
      <c r="P145" s="1" t="s">
        <v>28</v>
      </c>
      <c r="Q145" s="1" t="s">
        <v>29</v>
      </c>
      <c r="R145" s="1" t="s">
        <v>30</v>
      </c>
      <c r="S145" s="1">
        <v>75</v>
      </c>
      <c r="T145" s="1">
        <v>7770</v>
      </c>
      <c r="U145" s="1">
        <v>21</v>
      </c>
      <c r="V145" s="1">
        <v>9401.7000000000007</v>
      </c>
      <c r="W145" s="1">
        <v>0</v>
      </c>
      <c r="X145" s="1">
        <v>0</v>
      </c>
      <c r="Y145" s="1">
        <v>0</v>
      </c>
      <c r="Z145" s="1">
        <v>582750</v>
      </c>
      <c r="AA145" s="1"/>
    </row>
    <row r="146" spans="1:27" x14ac:dyDescent="0.3">
      <c r="A146" s="1" t="s">
        <v>162</v>
      </c>
      <c r="B146" s="2">
        <v>45769</v>
      </c>
      <c r="C146" s="1" t="s">
        <v>25</v>
      </c>
      <c r="D146" s="1">
        <v>1</v>
      </c>
      <c r="E146" s="1">
        <v>3370000</v>
      </c>
      <c r="F146" s="1">
        <v>0</v>
      </c>
      <c r="G146" s="1">
        <v>0</v>
      </c>
      <c r="H146" s="1">
        <v>3370000</v>
      </c>
      <c r="I146" s="1" t="s">
        <v>26</v>
      </c>
      <c r="J146" s="1" t="s">
        <v>36</v>
      </c>
      <c r="K146" s="1"/>
      <c r="L146" s="1" t="s">
        <v>163</v>
      </c>
      <c r="M146" s="1" t="s">
        <v>27</v>
      </c>
      <c r="N146" s="1" t="s">
        <v>38</v>
      </c>
      <c r="O146" s="1"/>
      <c r="P146" s="1" t="s">
        <v>28</v>
      </c>
      <c r="Q146" s="1" t="s">
        <v>39</v>
      </c>
      <c r="R146" s="1" t="s">
        <v>164</v>
      </c>
      <c r="T146" s="1">
        <v>3370000</v>
      </c>
      <c r="AA146" s="1" t="s">
        <v>163</v>
      </c>
    </row>
    <row r="147" spans="1:27" hidden="1" x14ac:dyDescent="0.3">
      <c r="A147" s="1" t="s">
        <v>160</v>
      </c>
      <c r="B147" s="2">
        <v>45770</v>
      </c>
      <c r="C147" s="1" t="s">
        <v>25</v>
      </c>
      <c r="D147" s="1">
        <v>1</v>
      </c>
      <c r="E147" s="1">
        <v>-539369.6</v>
      </c>
      <c r="F147" s="1">
        <v>0</v>
      </c>
      <c r="G147" s="1">
        <v>-93609.600000000006</v>
      </c>
      <c r="H147" s="1">
        <v>-445760</v>
      </c>
      <c r="I147" s="1" t="s">
        <v>26</v>
      </c>
      <c r="J147" s="1"/>
      <c r="K147" s="1"/>
      <c r="L147" s="1"/>
      <c r="M147" s="1" t="s">
        <v>27</v>
      </c>
      <c r="N147" s="1"/>
      <c r="O147" s="1"/>
      <c r="P147" s="1" t="s">
        <v>28</v>
      </c>
      <c r="Q147" s="1" t="s">
        <v>49</v>
      </c>
      <c r="R147" s="1" t="s">
        <v>50</v>
      </c>
      <c r="S147" s="1">
        <v>40</v>
      </c>
      <c r="T147" s="1">
        <v>11144</v>
      </c>
      <c r="U147" s="1">
        <v>21</v>
      </c>
      <c r="V147" s="1">
        <v>13484.24</v>
      </c>
      <c r="W147" s="1">
        <v>0</v>
      </c>
      <c r="X147" s="1">
        <v>0</v>
      </c>
      <c r="Y147" s="1">
        <v>0</v>
      </c>
      <c r="Z147" s="1">
        <v>445760</v>
      </c>
      <c r="AA147" s="1"/>
    </row>
    <row r="148" spans="1:27" hidden="1" x14ac:dyDescent="0.3">
      <c r="A148" s="1" t="s">
        <v>159</v>
      </c>
      <c r="B148" s="2">
        <v>45771</v>
      </c>
      <c r="C148" s="1" t="s">
        <v>25</v>
      </c>
      <c r="D148" s="1">
        <v>1</v>
      </c>
      <c r="E148" s="1">
        <v>-1787977.68</v>
      </c>
      <c r="F148" s="1">
        <v>0</v>
      </c>
      <c r="G148" s="1">
        <v>-310310.18</v>
      </c>
      <c r="H148" s="1">
        <v>-1477667.5</v>
      </c>
      <c r="I148" s="1" t="s">
        <v>26</v>
      </c>
      <c r="J148" s="1"/>
      <c r="K148" s="1"/>
      <c r="L148" s="1"/>
      <c r="M148" s="1" t="s">
        <v>27</v>
      </c>
      <c r="N148" s="1"/>
      <c r="O148" s="1"/>
      <c r="P148" s="1" t="s">
        <v>28</v>
      </c>
      <c r="Q148" s="1" t="s">
        <v>46</v>
      </c>
      <c r="R148" s="1" t="s">
        <v>47</v>
      </c>
      <c r="S148" s="1">
        <v>75</v>
      </c>
      <c r="T148" s="1">
        <v>7218.9</v>
      </c>
      <c r="U148" s="1">
        <v>21</v>
      </c>
      <c r="V148" s="1">
        <v>8734.8690000000006</v>
      </c>
      <c r="W148" s="1">
        <v>0</v>
      </c>
      <c r="X148" s="1">
        <v>0</v>
      </c>
      <c r="Y148" s="1">
        <v>0</v>
      </c>
      <c r="Z148" s="1">
        <v>541417.5</v>
      </c>
      <c r="AA148" s="1"/>
    </row>
    <row r="149" spans="1:27" hidden="1" x14ac:dyDescent="0.3">
      <c r="A149" s="1" t="s">
        <v>159</v>
      </c>
      <c r="B149" s="2">
        <v>45771</v>
      </c>
      <c r="C149" s="1" t="s">
        <v>25</v>
      </c>
      <c r="D149" s="1">
        <v>1</v>
      </c>
      <c r="E149" s="1">
        <v>-1787977.68</v>
      </c>
      <c r="F149" s="1">
        <v>0</v>
      </c>
      <c r="G149" s="1">
        <v>-310310.18</v>
      </c>
      <c r="H149" s="1">
        <v>-1477667.5</v>
      </c>
      <c r="I149" s="1" t="s">
        <v>26</v>
      </c>
      <c r="J149" s="1"/>
      <c r="K149" s="1"/>
      <c r="L149" s="1"/>
      <c r="M149" s="1" t="s">
        <v>27</v>
      </c>
      <c r="N149" s="1"/>
      <c r="O149" s="1"/>
      <c r="P149" s="1" t="s">
        <v>28</v>
      </c>
      <c r="Q149" s="1" t="s">
        <v>29</v>
      </c>
      <c r="R149" s="1" t="s">
        <v>30</v>
      </c>
      <c r="S149" s="1">
        <v>125</v>
      </c>
      <c r="T149" s="1">
        <v>7490</v>
      </c>
      <c r="U149" s="1">
        <v>21</v>
      </c>
      <c r="V149" s="1">
        <v>9062.9</v>
      </c>
      <c r="W149" s="1">
        <v>0</v>
      </c>
      <c r="X149" s="1">
        <v>0</v>
      </c>
      <c r="Y149" s="1">
        <v>0</v>
      </c>
      <c r="Z149" s="1">
        <v>936250</v>
      </c>
      <c r="AA149" s="1"/>
    </row>
    <row r="150" spans="1:27" hidden="1" x14ac:dyDescent="0.3">
      <c r="A150" s="1" t="s">
        <v>156</v>
      </c>
      <c r="B150" s="2">
        <v>45772</v>
      </c>
      <c r="C150" s="1" t="s">
        <v>25</v>
      </c>
      <c r="D150" s="1">
        <v>1</v>
      </c>
      <c r="E150" s="1">
        <v>-1398805.25</v>
      </c>
      <c r="F150" s="1">
        <v>0</v>
      </c>
      <c r="G150" s="1">
        <v>-242767.85</v>
      </c>
      <c r="H150" s="1">
        <v>-1156037.3999999999</v>
      </c>
      <c r="I150" s="1" t="s">
        <v>26</v>
      </c>
      <c r="J150" s="1"/>
      <c r="K150" s="1"/>
      <c r="L150" s="1"/>
      <c r="M150" s="1" t="s">
        <v>27</v>
      </c>
      <c r="N150" s="1"/>
      <c r="O150" s="1"/>
      <c r="P150" s="1" t="s">
        <v>28</v>
      </c>
      <c r="Q150" s="1" t="s">
        <v>29</v>
      </c>
      <c r="R150" s="1" t="s">
        <v>30</v>
      </c>
      <c r="S150" s="1">
        <v>125</v>
      </c>
      <c r="T150" s="1">
        <v>8330</v>
      </c>
      <c r="U150" s="1">
        <v>21</v>
      </c>
      <c r="V150" s="1">
        <v>10079.299999999999</v>
      </c>
      <c r="W150" s="1">
        <v>0</v>
      </c>
      <c r="X150" s="1">
        <v>0</v>
      </c>
      <c r="Y150" s="1">
        <v>0</v>
      </c>
      <c r="Z150" s="1">
        <v>1041250</v>
      </c>
      <c r="AA150" s="1"/>
    </row>
    <row r="151" spans="1:27" hidden="1" x14ac:dyDescent="0.3">
      <c r="A151" s="1" t="s">
        <v>156</v>
      </c>
      <c r="B151" s="2">
        <v>45772</v>
      </c>
      <c r="C151" s="1" t="s">
        <v>25</v>
      </c>
      <c r="D151" s="1">
        <v>1</v>
      </c>
      <c r="E151" s="1">
        <v>-1398805.25</v>
      </c>
      <c r="F151" s="1">
        <v>0</v>
      </c>
      <c r="G151" s="1">
        <v>-242767.85</v>
      </c>
      <c r="H151" s="1">
        <v>-1156037.3999999999</v>
      </c>
      <c r="I151" s="1" t="s">
        <v>26</v>
      </c>
      <c r="J151" s="1"/>
      <c r="K151" s="1"/>
      <c r="L151" s="1"/>
      <c r="M151" s="1" t="s">
        <v>27</v>
      </c>
      <c r="N151" s="1"/>
      <c r="O151" s="1"/>
      <c r="P151" s="1" t="s">
        <v>28</v>
      </c>
      <c r="Q151" s="1" t="s">
        <v>157</v>
      </c>
      <c r="R151" s="1" t="s">
        <v>158</v>
      </c>
      <c r="S151" s="1">
        <v>1</v>
      </c>
      <c r="T151" s="1">
        <v>10067.4</v>
      </c>
      <c r="U151" s="1">
        <v>21</v>
      </c>
      <c r="V151" s="1">
        <v>12181.554</v>
      </c>
      <c r="W151" s="1">
        <v>0</v>
      </c>
      <c r="X151" s="1">
        <v>0</v>
      </c>
      <c r="Y151" s="1">
        <v>0</v>
      </c>
      <c r="Z151" s="1">
        <v>10067.4</v>
      </c>
      <c r="AA151" s="1"/>
    </row>
    <row r="152" spans="1:27" hidden="1" x14ac:dyDescent="0.3">
      <c r="A152" s="1" t="s">
        <v>156</v>
      </c>
      <c r="B152" s="2">
        <v>45772</v>
      </c>
      <c r="C152" s="1" t="s">
        <v>25</v>
      </c>
      <c r="D152" s="1">
        <v>1</v>
      </c>
      <c r="E152" s="1">
        <v>-1398805.25</v>
      </c>
      <c r="F152" s="1">
        <v>0</v>
      </c>
      <c r="G152" s="1">
        <v>-242767.85</v>
      </c>
      <c r="H152" s="1">
        <v>-1156037.3999999999</v>
      </c>
      <c r="I152" s="1" t="s">
        <v>26</v>
      </c>
      <c r="J152" s="1"/>
      <c r="K152" s="1"/>
      <c r="L152" s="1"/>
      <c r="M152" s="1" t="s">
        <v>27</v>
      </c>
      <c r="N152" s="1"/>
      <c r="O152" s="1"/>
      <c r="P152" s="1" t="s">
        <v>28</v>
      </c>
      <c r="Q152" s="1" t="s">
        <v>110</v>
      </c>
      <c r="R152" s="1" t="s">
        <v>111</v>
      </c>
      <c r="S152" s="1">
        <v>1</v>
      </c>
      <c r="T152" s="1">
        <v>104720</v>
      </c>
      <c r="U152" s="1">
        <v>21</v>
      </c>
      <c r="V152" s="1">
        <v>126711.2</v>
      </c>
      <c r="W152" s="1">
        <v>0</v>
      </c>
      <c r="X152" s="1">
        <v>0</v>
      </c>
      <c r="Y152" s="1">
        <v>0</v>
      </c>
      <c r="Z152" s="1">
        <v>104720</v>
      </c>
      <c r="AA152" s="1"/>
    </row>
    <row r="153" spans="1:27" hidden="1" x14ac:dyDescent="0.3">
      <c r="A153" s="1" t="s">
        <v>155</v>
      </c>
      <c r="B153" s="2">
        <v>45775</v>
      </c>
      <c r="C153" s="1" t="s">
        <v>25</v>
      </c>
      <c r="D153" s="1">
        <v>1</v>
      </c>
      <c r="E153" s="1">
        <v>-1077045.2</v>
      </c>
      <c r="F153" s="1">
        <v>0</v>
      </c>
      <c r="G153" s="1">
        <v>-186925.2</v>
      </c>
      <c r="H153" s="1">
        <v>-890120</v>
      </c>
      <c r="I153" s="1" t="s">
        <v>26</v>
      </c>
      <c r="J153" s="1"/>
      <c r="K153" s="1"/>
      <c r="L153" s="1"/>
      <c r="M153" s="1" t="s">
        <v>27</v>
      </c>
      <c r="N153" s="1"/>
      <c r="O153" s="1"/>
      <c r="P153" s="1" t="s">
        <v>28</v>
      </c>
      <c r="Q153" s="1" t="s">
        <v>29</v>
      </c>
      <c r="R153" s="1" t="s">
        <v>30</v>
      </c>
      <c r="S153" s="1">
        <v>50</v>
      </c>
      <c r="T153" s="1">
        <v>8330</v>
      </c>
      <c r="U153" s="1">
        <v>21</v>
      </c>
      <c r="V153" s="1">
        <v>10079.299999999999</v>
      </c>
      <c r="W153" s="1">
        <v>0</v>
      </c>
      <c r="X153" s="1">
        <v>0</v>
      </c>
      <c r="Y153" s="1">
        <v>0</v>
      </c>
      <c r="Z153" s="1">
        <v>416500</v>
      </c>
      <c r="AA153" s="1"/>
    </row>
    <row r="154" spans="1:27" hidden="1" x14ac:dyDescent="0.3">
      <c r="A154" s="1" t="s">
        <v>155</v>
      </c>
      <c r="B154" s="2">
        <v>45775</v>
      </c>
      <c r="C154" s="1" t="s">
        <v>25</v>
      </c>
      <c r="D154" s="1">
        <v>1</v>
      </c>
      <c r="E154" s="1">
        <v>-1077045.2</v>
      </c>
      <c r="F154" s="1">
        <v>0</v>
      </c>
      <c r="G154" s="1">
        <v>-186925.2</v>
      </c>
      <c r="H154" s="1">
        <v>-890120</v>
      </c>
      <c r="I154" s="1" t="s">
        <v>26</v>
      </c>
      <c r="J154" s="1"/>
      <c r="K154" s="1"/>
      <c r="L154" s="1"/>
      <c r="M154" s="1" t="s">
        <v>27</v>
      </c>
      <c r="N154" s="1"/>
      <c r="O154" s="1"/>
      <c r="P154" s="1" t="s">
        <v>28</v>
      </c>
      <c r="Q154" s="1" t="s">
        <v>49</v>
      </c>
      <c r="R154" s="1" t="s">
        <v>50</v>
      </c>
      <c r="S154" s="1">
        <v>40</v>
      </c>
      <c r="T154" s="1">
        <v>11840.5</v>
      </c>
      <c r="U154" s="1">
        <v>21</v>
      </c>
      <c r="V154" s="1">
        <v>14327.004999999999</v>
      </c>
      <c r="W154" s="1">
        <v>0</v>
      </c>
      <c r="X154" s="1">
        <v>0</v>
      </c>
      <c r="Y154" s="1">
        <v>0</v>
      </c>
      <c r="Z154" s="1">
        <v>473620</v>
      </c>
      <c r="AA154" s="1"/>
    </row>
    <row r="155" spans="1:27" hidden="1" x14ac:dyDescent="0.3">
      <c r="A155" s="1" t="s">
        <v>154</v>
      </c>
      <c r="B155" s="2">
        <v>45776</v>
      </c>
      <c r="C155" s="1" t="s">
        <v>25</v>
      </c>
      <c r="D155" s="1">
        <v>1</v>
      </c>
      <c r="E155" s="1">
        <v>-1704121.65</v>
      </c>
      <c r="F155" s="1">
        <v>0</v>
      </c>
      <c r="G155" s="1">
        <v>-295756.65000000002</v>
      </c>
      <c r="H155" s="1">
        <v>-1408365</v>
      </c>
      <c r="I155" s="1" t="s">
        <v>26</v>
      </c>
      <c r="J155" s="1"/>
      <c r="K155" s="1"/>
      <c r="L155" s="1"/>
      <c r="M155" s="1" t="s">
        <v>27</v>
      </c>
      <c r="N155" s="1"/>
      <c r="O155" s="1"/>
      <c r="P155" s="1" t="s">
        <v>28</v>
      </c>
      <c r="Q155" s="1" t="s">
        <v>46</v>
      </c>
      <c r="R155" s="1" t="s">
        <v>47</v>
      </c>
      <c r="S155" s="1">
        <v>50</v>
      </c>
      <c r="T155" s="1">
        <v>7342.3</v>
      </c>
      <c r="U155" s="1">
        <v>21</v>
      </c>
      <c r="V155" s="1">
        <v>8884.1830000000009</v>
      </c>
      <c r="W155" s="1">
        <v>0</v>
      </c>
      <c r="X155" s="1">
        <v>0</v>
      </c>
      <c r="Y155" s="1">
        <v>0</v>
      </c>
      <c r="Z155" s="1">
        <v>367115</v>
      </c>
      <c r="AA155" s="1"/>
    </row>
    <row r="156" spans="1:27" hidden="1" x14ac:dyDescent="0.3">
      <c r="A156" s="1" t="s">
        <v>154</v>
      </c>
      <c r="B156" s="2">
        <v>45776</v>
      </c>
      <c r="C156" s="1" t="s">
        <v>25</v>
      </c>
      <c r="D156" s="1">
        <v>1</v>
      </c>
      <c r="E156" s="1">
        <v>-1704121.65</v>
      </c>
      <c r="F156" s="1">
        <v>0</v>
      </c>
      <c r="G156" s="1">
        <v>-295756.65000000002</v>
      </c>
      <c r="H156" s="1">
        <v>-1408365</v>
      </c>
      <c r="I156" s="1" t="s">
        <v>26</v>
      </c>
      <c r="J156" s="1"/>
      <c r="K156" s="1"/>
      <c r="L156" s="1"/>
      <c r="M156" s="1" t="s">
        <v>27</v>
      </c>
      <c r="N156" s="1"/>
      <c r="O156" s="1"/>
      <c r="P156" s="1" t="s">
        <v>28</v>
      </c>
      <c r="Q156" s="1" t="s">
        <v>29</v>
      </c>
      <c r="R156" s="1" t="s">
        <v>30</v>
      </c>
      <c r="S156" s="1">
        <v>125</v>
      </c>
      <c r="T156" s="1">
        <v>8330</v>
      </c>
      <c r="U156" s="1">
        <v>21</v>
      </c>
      <c r="V156" s="1">
        <v>10079.299999999999</v>
      </c>
      <c r="W156" s="1">
        <v>0</v>
      </c>
      <c r="X156" s="1">
        <v>0</v>
      </c>
      <c r="Y156" s="1">
        <v>0</v>
      </c>
      <c r="Z156" s="1">
        <v>1041250</v>
      </c>
      <c r="AA156" s="1"/>
    </row>
    <row r="157" spans="1:27" x14ac:dyDescent="0.3">
      <c r="A157" s="1" t="s">
        <v>147</v>
      </c>
      <c r="B157" s="2">
        <v>45777</v>
      </c>
      <c r="C157" s="1" t="s">
        <v>25</v>
      </c>
      <c r="D157" s="1">
        <v>1</v>
      </c>
      <c r="E157" s="1">
        <v>3047725.84</v>
      </c>
      <c r="F157" s="1">
        <v>0</v>
      </c>
      <c r="G157" s="1">
        <v>0</v>
      </c>
      <c r="H157" s="1">
        <v>3047725.84</v>
      </c>
      <c r="I157" s="1" t="s">
        <v>26</v>
      </c>
      <c r="J157" s="1" t="s">
        <v>36</v>
      </c>
      <c r="K157" s="1"/>
      <c r="L157" s="1" t="s">
        <v>148</v>
      </c>
      <c r="M157" s="1" t="s">
        <v>27</v>
      </c>
      <c r="N157" s="1" t="s">
        <v>38</v>
      </c>
      <c r="O157" s="1"/>
      <c r="P157" s="1" t="s">
        <v>28</v>
      </c>
      <c r="Q157" s="1" t="s">
        <v>39</v>
      </c>
      <c r="R157" s="1" t="s">
        <v>149</v>
      </c>
      <c r="T157" s="1">
        <v>1100000</v>
      </c>
      <c r="AA157" s="1" t="s">
        <v>148</v>
      </c>
    </row>
    <row r="158" spans="1:27" x14ac:dyDescent="0.3">
      <c r="A158" s="1" t="s">
        <v>147</v>
      </c>
      <c r="B158" s="2">
        <v>45777</v>
      </c>
      <c r="C158" s="1" t="s">
        <v>25</v>
      </c>
      <c r="D158" s="1">
        <v>1</v>
      </c>
      <c r="E158" s="1">
        <v>3047725.84</v>
      </c>
      <c r="F158" s="1">
        <v>0</v>
      </c>
      <c r="G158" s="1">
        <v>0</v>
      </c>
      <c r="H158" s="1">
        <v>3047725.84</v>
      </c>
      <c r="I158" s="1" t="s">
        <v>26</v>
      </c>
      <c r="J158" s="1" t="s">
        <v>36</v>
      </c>
      <c r="K158" s="1"/>
      <c r="L158" s="1" t="s">
        <v>150</v>
      </c>
      <c r="M158" s="1" t="s">
        <v>27</v>
      </c>
      <c r="N158" s="1" t="s">
        <v>38</v>
      </c>
      <c r="O158" s="1"/>
      <c r="P158" s="1" t="s">
        <v>28</v>
      </c>
      <c r="Q158" s="1" t="s">
        <v>39</v>
      </c>
      <c r="R158" s="1" t="s">
        <v>151</v>
      </c>
      <c r="T158" s="1">
        <v>710000</v>
      </c>
      <c r="AA158" s="1" t="s">
        <v>150</v>
      </c>
    </row>
    <row r="159" spans="1:27" x14ac:dyDescent="0.3">
      <c r="A159" s="1" t="s">
        <v>147</v>
      </c>
      <c r="B159" s="2">
        <v>45777</v>
      </c>
      <c r="C159" s="1" t="s">
        <v>25</v>
      </c>
      <c r="D159" s="1">
        <v>1</v>
      </c>
      <c r="E159" s="1">
        <v>3047725.84</v>
      </c>
      <c r="F159" s="1">
        <v>0</v>
      </c>
      <c r="G159" s="1">
        <v>0</v>
      </c>
      <c r="H159" s="1">
        <v>3047725.84</v>
      </c>
      <c r="I159" s="1" t="s">
        <v>26</v>
      </c>
      <c r="J159" s="1" t="s">
        <v>36</v>
      </c>
      <c r="K159" s="1"/>
      <c r="L159" s="1" t="s">
        <v>152</v>
      </c>
      <c r="M159" s="1" t="s">
        <v>27</v>
      </c>
      <c r="N159" s="1" t="s">
        <v>38</v>
      </c>
      <c r="O159" s="1"/>
      <c r="P159" s="1" t="s">
        <v>28</v>
      </c>
      <c r="Q159" s="1" t="s">
        <v>39</v>
      </c>
      <c r="R159" s="1" t="s">
        <v>153</v>
      </c>
      <c r="T159" s="1">
        <v>1237725.8400000001</v>
      </c>
      <c r="AA159" s="1" t="s">
        <v>152</v>
      </c>
    </row>
    <row r="160" spans="1:27" hidden="1" x14ac:dyDescent="0.3">
      <c r="A160" s="1" t="s">
        <v>209</v>
      </c>
      <c r="B160" s="2">
        <v>45779</v>
      </c>
      <c r="C160" s="1" t="s">
        <v>25</v>
      </c>
      <c r="D160" s="1">
        <v>1</v>
      </c>
      <c r="E160" s="1">
        <v>-3773675.4</v>
      </c>
      <c r="F160" s="1">
        <v>0</v>
      </c>
      <c r="G160" s="1">
        <v>-654935.4</v>
      </c>
      <c r="H160" s="1">
        <v>-3118740</v>
      </c>
      <c r="I160" s="1" t="s">
        <v>26</v>
      </c>
      <c r="J160" s="1"/>
      <c r="K160" s="1"/>
      <c r="L160" s="1"/>
      <c r="M160" s="1" t="s">
        <v>27</v>
      </c>
      <c r="N160" s="1"/>
      <c r="O160" s="1"/>
      <c r="P160" s="1" t="s">
        <v>28</v>
      </c>
      <c r="Q160" s="1" t="s">
        <v>29</v>
      </c>
      <c r="R160" s="1" t="s">
        <v>30</v>
      </c>
      <c r="S160" s="1">
        <v>250</v>
      </c>
      <c r="T160" s="1">
        <v>8260</v>
      </c>
      <c r="U160" s="1">
        <v>21</v>
      </c>
      <c r="V160" s="1">
        <v>9994.6</v>
      </c>
      <c r="W160" s="1">
        <v>0</v>
      </c>
      <c r="X160" s="1">
        <v>0</v>
      </c>
      <c r="Y160" s="1">
        <v>0</v>
      </c>
      <c r="Z160" s="1">
        <v>2065000</v>
      </c>
      <c r="AA160" s="1"/>
    </row>
    <row r="161" spans="1:27" hidden="1" x14ac:dyDescent="0.3">
      <c r="A161" s="1" t="s">
        <v>209</v>
      </c>
      <c r="B161" s="2">
        <v>45779</v>
      </c>
      <c r="C161" s="1" t="s">
        <v>25</v>
      </c>
      <c r="D161" s="1">
        <v>1</v>
      </c>
      <c r="E161" s="1">
        <v>-3773675.4</v>
      </c>
      <c r="F161" s="1">
        <v>0</v>
      </c>
      <c r="G161" s="1">
        <v>-654935.4</v>
      </c>
      <c r="H161" s="1">
        <v>-3118740</v>
      </c>
      <c r="I161" s="1" t="s">
        <v>26</v>
      </c>
      <c r="J161" s="1"/>
      <c r="K161" s="1"/>
      <c r="L161" s="1"/>
      <c r="M161" s="1" t="s">
        <v>27</v>
      </c>
      <c r="N161" s="1"/>
      <c r="O161" s="1"/>
      <c r="P161" s="1" t="s">
        <v>28</v>
      </c>
      <c r="Q161" s="1" t="s">
        <v>61</v>
      </c>
      <c r="R161" s="1" t="s">
        <v>62</v>
      </c>
      <c r="S161" s="1">
        <v>25</v>
      </c>
      <c r="T161" s="1">
        <v>7622.8</v>
      </c>
      <c r="U161" s="1">
        <v>21</v>
      </c>
      <c r="V161" s="1">
        <v>9223.5879999999997</v>
      </c>
      <c r="W161" s="1">
        <v>0</v>
      </c>
      <c r="X161" s="1">
        <v>0</v>
      </c>
      <c r="Y161" s="1">
        <v>0</v>
      </c>
      <c r="Z161" s="1">
        <v>190570</v>
      </c>
      <c r="AA161" s="1"/>
    </row>
    <row r="162" spans="1:27" hidden="1" x14ac:dyDescent="0.3">
      <c r="A162" s="1" t="s">
        <v>209</v>
      </c>
      <c r="B162" s="2">
        <v>45779</v>
      </c>
      <c r="C162" s="1" t="s">
        <v>25</v>
      </c>
      <c r="D162" s="1">
        <v>1</v>
      </c>
      <c r="E162" s="1">
        <v>-3773675.4</v>
      </c>
      <c r="F162" s="1">
        <v>0</v>
      </c>
      <c r="G162" s="1">
        <v>-654935.4</v>
      </c>
      <c r="H162" s="1">
        <v>-3118740</v>
      </c>
      <c r="I162" s="1" t="s">
        <v>26</v>
      </c>
      <c r="J162" s="1"/>
      <c r="K162" s="1"/>
      <c r="L162" s="1"/>
      <c r="M162" s="1" t="s">
        <v>27</v>
      </c>
      <c r="N162" s="1"/>
      <c r="O162" s="1"/>
      <c r="P162" s="1" t="s">
        <v>28</v>
      </c>
      <c r="Q162" s="1" t="s">
        <v>129</v>
      </c>
      <c r="R162" s="1" t="s">
        <v>130</v>
      </c>
      <c r="S162" s="1">
        <v>25</v>
      </c>
      <c r="T162" s="1">
        <v>10596.4</v>
      </c>
      <c r="U162" s="1">
        <v>21</v>
      </c>
      <c r="V162" s="1">
        <v>12821.644</v>
      </c>
      <c r="W162" s="1">
        <v>0</v>
      </c>
      <c r="X162" s="1">
        <v>0</v>
      </c>
      <c r="Y162" s="1">
        <v>0</v>
      </c>
      <c r="Z162" s="1">
        <v>264910</v>
      </c>
      <c r="AA162" s="1"/>
    </row>
    <row r="163" spans="1:27" hidden="1" x14ac:dyDescent="0.3">
      <c r="A163" s="1" t="s">
        <v>209</v>
      </c>
      <c r="B163" s="2">
        <v>45779</v>
      </c>
      <c r="C163" s="1" t="s">
        <v>25</v>
      </c>
      <c r="D163" s="1">
        <v>1</v>
      </c>
      <c r="E163" s="1">
        <v>-3773675.4</v>
      </c>
      <c r="F163" s="1">
        <v>0</v>
      </c>
      <c r="G163" s="1">
        <v>-654935.4</v>
      </c>
      <c r="H163" s="1">
        <v>-3118740</v>
      </c>
      <c r="I163" s="1" t="s">
        <v>26</v>
      </c>
      <c r="J163" s="1"/>
      <c r="K163" s="1"/>
      <c r="L163" s="1"/>
      <c r="M163" s="1" t="s">
        <v>27</v>
      </c>
      <c r="N163" s="1"/>
      <c r="O163" s="1"/>
      <c r="P163" s="1" t="s">
        <v>28</v>
      </c>
      <c r="Q163" s="1" t="s">
        <v>77</v>
      </c>
      <c r="R163" s="1" t="s">
        <v>78</v>
      </c>
      <c r="S163" s="1">
        <v>50</v>
      </c>
      <c r="T163" s="1">
        <v>11965.2</v>
      </c>
      <c r="U163" s="1">
        <v>21</v>
      </c>
      <c r="V163" s="1">
        <v>14477.892</v>
      </c>
      <c r="W163" s="1">
        <v>0</v>
      </c>
      <c r="X163" s="1">
        <v>0</v>
      </c>
      <c r="Y163" s="1">
        <v>0</v>
      </c>
      <c r="Z163" s="1">
        <v>598260</v>
      </c>
      <c r="AA163" s="1"/>
    </row>
    <row r="164" spans="1:27" hidden="1" x14ac:dyDescent="0.3">
      <c r="A164" s="1" t="s">
        <v>210</v>
      </c>
      <c r="B164" s="2">
        <v>45782</v>
      </c>
      <c r="C164" s="1" t="s">
        <v>25</v>
      </c>
      <c r="D164" s="1">
        <v>1</v>
      </c>
      <c r="E164" s="1">
        <v>-296043.44</v>
      </c>
      <c r="F164" s="1">
        <v>0</v>
      </c>
      <c r="G164" s="1">
        <v>-51379.44</v>
      </c>
      <c r="H164" s="1">
        <v>-244664</v>
      </c>
      <c r="I164" s="1" t="s">
        <v>26</v>
      </c>
      <c r="J164" s="1"/>
      <c r="K164" s="1"/>
      <c r="L164" s="1"/>
      <c r="M164" s="1" t="s">
        <v>27</v>
      </c>
      <c r="N164" s="1"/>
      <c r="O164" s="1"/>
      <c r="P164" s="1" t="s">
        <v>28</v>
      </c>
      <c r="Q164" s="1" t="s">
        <v>58</v>
      </c>
      <c r="R164" s="1" t="s">
        <v>59</v>
      </c>
      <c r="S164" s="1">
        <v>20</v>
      </c>
      <c r="T164" s="1">
        <v>12233.2</v>
      </c>
      <c r="U164" s="1">
        <v>21</v>
      </c>
      <c r="V164" s="1">
        <v>14802.172</v>
      </c>
      <c r="W164" s="1">
        <v>0</v>
      </c>
      <c r="X164" s="1">
        <v>0</v>
      </c>
      <c r="Y164" s="1">
        <v>0</v>
      </c>
      <c r="Z164" s="1">
        <v>244664</v>
      </c>
      <c r="AA164" s="1"/>
    </row>
    <row r="165" spans="1:27" hidden="1" x14ac:dyDescent="0.3">
      <c r="A165" s="1" t="s">
        <v>211</v>
      </c>
      <c r="B165" s="2">
        <v>45782</v>
      </c>
      <c r="C165" s="1" t="s">
        <v>25</v>
      </c>
      <c r="D165" s="1">
        <v>1</v>
      </c>
      <c r="E165" s="1">
        <v>-1756678</v>
      </c>
      <c r="F165" s="1">
        <v>0</v>
      </c>
      <c r="G165" s="1">
        <v>-304878</v>
      </c>
      <c r="H165" s="1">
        <v>-1451800</v>
      </c>
      <c r="I165" s="1" t="s">
        <v>26</v>
      </c>
      <c r="J165" s="1"/>
      <c r="K165" s="1"/>
      <c r="L165" s="1"/>
      <c r="M165" s="1" t="s">
        <v>27</v>
      </c>
      <c r="N165" s="1"/>
      <c r="O165" s="1"/>
      <c r="P165" s="1" t="s">
        <v>28</v>
      </c>
      <c r="Q165" s="1" t="s">
        <v>29</v>
      </c>
      <c r="R165" s="1" t="s">
        <v>30</v>
      </c>
      <c r="S165" s="1">
        <v>50</v>
      </c>
      <c r="T165" s="1">
        <v>8330</v>
      </c>
      <c r="U165" s="1">
        <v>21</v>
      </c>
      <c r="V165" s="1">
        <v>10079.299999999999</v>
      </c>
      <c r="W165" s="1">
        <v>0</v>
      </c>
      <c r="X165" s="1">
        <v>0</v>
      </c>
      <c r="Y165" s="1">
        <v>0</v>
      </c>
      <c r="Z165" s="1">
        <v>416500</v>
      </c>
      <c r="AA165" s="1"/>
    </row>
    <row r="166" spans="1:27" hidden="1" x14ac:dyDescent="0.3">
      <c r="A166" s="1" t="s">
        <v>211</v>
      </c>
      <c r="B166" s="2">
        <v>45782</v>
      </c>
      <c r="C166" s="1" t="s">
        <v>25</v>
      </c>
      <c r="D166" s="1">
        <v>1</v>
      </c>
      <c r="E166" s="1">
        <v>-1756678</v>
      </c>
      <c r="F166" s="1">
        <v>0</v>
      </c>
      <c r="G166" s="1">
        <v>-304878</v>
      </c>
      <c r="H166" s="1">
        <v>-1451800</v>
      </c>
      <c r="I166" s="1" t="s">
        <v>26</v>
      </c>
      <c r="J166" s="1"/>
      <c r="K166" s="1"/>
      <c r="L166" s="1"/>
      <c r="M166" s="1" t="s">
        <v>27</v>
      </c>
      <c r="N166" s="1"/>
      <c r="O166" s="1"/>
      <c r="P166" s="1" t="s">
        <v>28</v>
      </c>
      <c r="Q166" s="1" t="s">
        <v>33</v>
      </c>
      <c r="R166" s="1" t="s">
        <v>34</v>
      </c>
      <c r="S166" s="1">
        <v>100</v>
      </c>
      <c r="T166" s="1">
        <v>10353</v>
      </c>
      <c r="U166" s="1">
        <v>21</v>
      </c>
      <c r="V166" s="1">
        <v>12527.13</v>
      </c>
      <c r="W166" s="1">
        <v>0</v>
      </c>
      <c r="X166" s="1">
        <v>0</v>
      </c>
      <c r="Y166" s="1">
        <v>0</v>
      </c>
      <c r="Z166" s="1">
        <v>1035300</v>
      </c>
      <c r="AA166" s="1"/>
    </row>
    <row r="167" spans="1:27" hidden="1" x14ac:dyDescent="0.3">
      <c r="A167" s="1" t="s">
        <v>212</v>
      </c>
      <c r="B167" s="2">
        <v>45783</v>
      </c>
      <c r="C167" s="1" t="s">
        <v>25</v>
      </c>
      <c r="D167" s="1">
        <v>1</v>
      </c>
      <c r="E167" s="1">
        <v>-1352828.4</v>
      </c>
      <c r="F167" s="1">
        <v>0</v>
      </c>
      <c r="G167" s="1">
        <v>-234788.4</v>
      </c>
      <c r="H167" s="1">
        <v>-1118040</v>
      </c>
      <c r="I167" s="1" t="s">
        <v>26</v>
      </c>
      <c r="J167" s="1"/>
      <c r="K167" s="1"/>
      <c r="L167" s="1"/>
      <c r="M167" s="1" t="s">
        <v>27</v>
      </c>
      <c r="N167" s="1"/>
      <c r="O167" s="1"/>
      <c r="P167" s="1" t="s">
        <v>28</v>
      </c>
      <c r="Q167" s="1" t="s">
        <v>46</v>
      </c>
      <c r="R167" s="1" t="s">
        <v>47</v>
      </c>
      <c r="S167" s="1">
        <v>50</v>
      </c>
      <c r="T167" s="1">
        <v>7465.7</v>
      </c>
      <c r="U167" s="1">
        <v>21</v>
      </c>
      <c r="V167" s="1">
        <v>9033.4969999999994</v>
      </c>
      <c r="W167" s="1">
        <v>0</v>
      </c>
      <c r="X167" s="1">
        <v>0</v>
      </c>
      <c r="Y167" s="1">
        <v>0</v>
      </c>
      <c r="Z167" s="1">
        <v>373285</v>
      </c>
      <c r="AA167" s="1"/>
    </row>
    <row r="168" spans="1:27" hidden="1" x14ac:dyDescent="0.3">
      <c r="A168" s="1" t="s">
        <v>212</v>
      </c>
      <c r="B168" s="2">
        <v>45783</v>
      </c>
      <c r="C168" s="1" t="s">
        <v>25</v>
      </c>
      <c r="D168" s="1">
        <v>1</v>
      </c>
      <c r="E168" s="1">
        <v>-1352828.4</v>
      </c>
      <c r="F168" s="1">
        <v>0</v>
      </c>
      <c r="G168" s="1">
        <v>-234788.4</v>
      </c>
      <c r="H168" s="1">
        <v>-1118040</v>
      </c>
      <c r="I168" s="1" t="s">
        <v>26</v>
      </c>
      <c r="J168" s="1"/>
      <c r="K168" s="1"/>
      <c r="L168" s="1"/>
      <c r="M168" s="1" t="s">
        <v>27</v>
      </c>
      <c r="N168" s="1"/>
      <c r="O168" s="1"/>
      <c r="P168" s="1" t="s">
        <v>28</v>
      </c>
      <c r="Q168" s="1" t="s">
        <v>49</v>
      </c>
      <c r="R168" s="1" t="s">
        <v>50</v>
      </c>
      <c r="S168" s="1">
        <v>40</v>
      </c>
      <c r="T168" s="1">
        <v>12039.5</v>
      </c>
      <c r="U168" s="1">
        <v>21</v>
      </c>
      <c r="V168" s="1">
        <v>14567.795</v>
      </c>
      <c r="W168" s="1">
        <v>0</v>
      </c>
      <c r="X168" s="1">
        <v>0</v>
      </c>
      <c r="Y168" s="1">
        <v>0</v>
      </c>
      <c r="Z168" s="1">
        <v>481580</v>
      </c>
      <c r="AA168" s="1"/>
    </row>
    <row r="169" spans="1:27" hidden="1" x14ac:dyDescent="0.3">
      <c r="A169" s="1" t="s">
        <v>212</v>
      </c>
      <c r="B169" s="2">
        <v>45783</v>
      </c>
      <c r="C169" s="1" t="s">
        <v>25</v>
      </c>
      <c r="D169" s="1">
        <v>1</v>
      </c>
      <c r="E169" s="1">
        <v>-1352828.4</v>
      </c>
      <c r="F169" s="1">
        <v>0</v>
      </c>
      <c r="G169" s="1">
        <v>-234788.4</v>
      </c>
      <c r="H169" s="1">
        <v>-1118040</v>
      </c>
      <c r="I169" s="1" t="s">
        <v>26</v>
      </c>
      <c r="J169" s="1"/>
      <c r="K169" s="1"/>
      <c r="L169" s="1"/>
      <c r="M169" s="1" t="s">
        <v>27</v>
      </c>
      <c r="N169" s="1"/>
      <c r="O169" s="1"/>
      <c r="P169" s="1" t="s">
        <v>28</v>
      </c>
      <c r="Q169" s="1" t="s">
        <v>33</v>
      </c>
      <c r="R169" s="1" t="s">
        <v>34</v>
      </c>
      <c r="S169" s="1">
        <v>25</v>
      </c>
      <c r="T169" s="1">
        <v>10527</v>
      </c>
      <c r="U169" s="1">
        <v>21</v>
      </c>
      <c r="V169" s="1">
        <v>12737.67</v>
      </c>
      <c r="W169" s="1">
        <v>0</v>
      </c>
      <c r="X169" s="1">
        <v>0</v>
      </c>
      <c r="Y169" s="1">
        <v>0</v>
      </c>
      <c r="Z169" s="1">
        <v>263175</v>
      </c>
      <c r="AA169" s="1"/>
    </row>
    <row r="170" spans="1:27" hidden="1" x14ac:dyDescent="0.3">
      <c r="A170" s="1" t="s">
        <v>213</v>
      </c>
      <c r="B170" s="2">
        <v>45784</v>
      </c>
      <c r="C170" s="1" t="s">
        <v>25</v>
      </c>
      <c r="D170" s="1">
        <v>1</v>
      </c>
      <c r="E170" s="1">
        <v>-1102612.5</v>
      </c>
      <c r="F170" s="1">
        <v>0</v>
      </c>
      <c r="G170" s="1">
        <v>-191362.5</v>
      </c>
      <c r="H170" s="1">
        <v>-911250</v>
      </c>
      <c r="I170" s="1" t="s">
        <v>26</v>
      </c>
      <c r="J170" s="1"/>
      <c r="K170" s="1"/>
      <c r="L170" s="1"/>
      <c r="M170" s="1" t="s">
        <v>27</v>
      </c>
      <c r="N170" s="1"/>
      <c r="O170" s="1"/>
      <c r="P170" s="1" t="s">
        <v>28</v>
      </c>
      <c r="Q170" s="1" t="s">
        <v>29</v>
      </c>
      <c r="R170" s="1" t="s">
        <v>30</v>
      </c>
      <c r="S170" s="1">
        <v>50</v>
      </c>
      <c r="T170" s="1">
        <v>8505</v>
      </c>
      <c r="U170" s="1">
        <v>21</v>
      </c>
      <c r="V170" s="1">
        <v>10291.049999999999</v>
      </c>
      <c r="W170" s="1">
        <v>0</v>
      </c>
      <c r="X170" s="1">
        <v>0</v>
      </c>
      <c r="Y170" s="1">
        <v>0</v>
      </c>
      <c r="Z170" s="1">
        <v>425250</v>
      </c>
      <c r="AA170" s="1"/>
    </row>
    <row r="171" spans="1:27" hidden="1" x14ac:dyDescent="0.3">
      <c r="A171" s="1" t="s">
        <v>213</v>
      </c>
      <c r="B171" s="2">
        <v>45784</v>
      </c>
      <c r="C171" s="1" t="s">
        <v>25</v>
      </c>
      <c r="D171" s="1">
        <v>1</v>
      </c>
      <c r="E171" s="1">
        <v>-1102612.5</v>
      </c>
      <c r="F171" s="1">
        <v>0</v>
      </c>
      <c r="G171" s="1">
        <v>-191362.5</v>
      </c>
      <c r="H171" s="1">
        <v>-911250</v>
      </c>
      <c r="I171" s="1" t="s">
        <v>26</v>
      </c>
      <c r="J171" s="1"/>
      <c r="K171" s="1"/>
      <c r="L171" s="1"/>
      <c r="M171" s="1" t="s">
        <v>27</v>
      </c>
      <c r="N171" s="1"/>
      <c r="O171" s="1"/>
      <c r="P171" s="1" t="s">
        <v>28</v>
      </c>
      <c r="Q171" s="1" t="s">
        <v>31</v>
      </c>
      <c r="R171" s="1" t="s">
        <v>32</v>
      </c>
      <c r="S171" s="1">
        <v>50</v>
      </c>
      <c r="T171" s="1">
        <v>9720</v>
      </c>
      <c r="U171" s="1">
        <v>21</v>
      </c>
      <c r="V171" s="1">
        <v>11761.2</v>
      </c>
      <c r="W171" s="1">
        <v>0</v>
      </c>
      <c r="X171" s="1">
        <v>0</v>
      </c>
      <c r="Y171" s="1">
        <v>0</v>
      </c>
      <c r="Z171" s="1">
        <v>486000</v>
      </c>
      <c r="AA171" s="1"/>
    </row>
    <row r="172" spans="1:27" hidden="1" x14ac:dyDescent="0.3">
      <c r="A172" s="1" t="s">
        <v>214</v>
      </c>
      <c r="B172" s="2">
        <v>45785</v>
      </c>
      <c r="C172" s="1" t="s">
        <v>25</v>
      </c>
      <c r="D172" s="1">
        <v>1</v>
      </c>
      <c r="E172" s="1">
        <v>-1178352.45</v>
      </c>
      <c r="F172" s="1">
        <v>0</v>
      </c>
      <c r="G172" s="1">
        <v>-204507.45</v>
      </c>
      <c r="H172" s="1">
        <v>-973845</v>
      </c>
      <c r="I172" s="1" t="s">
        <v>26</v>
      </c>
      <c r="J172" s="1"/>
      <c r="K172" s="1"/>
      <c r="L172" s="1"/>
      <c r="M172" s="1" t="s">
        <v>27</v>
      </c>
      <c r="N172" s="1"/>
      <c r="O172" s="1"/>
      <c r="P172" s="1" t="s">
        <v>28</v>
      </c>
      <c r="Q172" s="1" t="s">
        <v>46</v>
      </c>
      <c r="R172" s="1" t="s">
        <v>47</v>
      </c>
      <c r="S172" s="1">
        <v>25</v>
      </c>
      <c r="T172" s="1">
        <v>7033.8</v>
      </c>
      <c r="U172" s="1">
        <v>21</v>
      </c>
      <c r="V172" s="1">
        <v>8510.8979999999992</v>
      </c>
      <c r="W172" s="1">
        <v>0</v>
      </c>
      <c r="X172" s="1">
        <v>0</v>
      </c>
      <c r="Y172" s="1">
        <v>0</v>
      </c>
      <c r="Z172" s="1">
        <v>175845</v>
      </c>
      <c r="AA172" s="1"/>
    </row>
    <row r="173" spans="1:27" hidden="1" x14ac:dyDescent="0.3">
      <c r="A173" s="1" t="s">
        <v>214</v>
      </c>
      <c r="B173" s="2">
        <v>45785</v>
      </c>
      <c r="C173" s="1" t="s">
        <v>25</v>
      </c>
      <c r="D173" s="1">
        <v>1</v>
      </c>
      <c r="E173" s="1">
        <v>-1178352.45</v>
      </c>
      <c r="F173" s="1">
        <v>0</v>
      </c>
      <c r="G173" s="1">
        <v>-204507.45</v>
      </c>
      <c r="H173" s="1">
        <v>-973845</v>
      </c>
      <c r="I173" s="1" t="s">
        <v>26</v>
      </c>
      <c r="J173" s="1"/>
      <c r="K173" s="1"/>
      <c r="L173" s="1"/>
      <c r="M173" s="1" t="s">
        <v>27</v>
      </c>
      <c r="N173" s="1"/>
      <c r="O173" s="1"/>
      <c r="P173" s="1" t="s">
        <v>28</v>
      </c>
      <c r="Q173" s="1" t="s">
        <v>29</v>
      </c>
      <c r="R173" s="1" t="s">
        <v>30</v>
      </c>
      <c r="S173" s="1">
        <v>100</v>
      </c>
      <c r="T173" s="1">
        <v>7980</v>
      </c>
      <c r="U173" s="1">
        <v>21</v>
      </c>
      <c r="V173" s="1">
        <v>9655.7999999999993</v>
      </c>
      <c r="W173" s="1">
        <v>0</v>
      </c>
      <c r="X173" s="1">
        <v>0</v>
      </c>
      <c r="Y173" s="1">
        <v>0</v>
      </c>
      <c r="Z173" s="1">
        <v>798000</v>
      </c>
      <c r="AA173" s="1"/>
    </row>
    <row r="174" spans="1:27" hidden="1" x14ac:dyDescent="0.3">
      <c r="A174" s="1" t="s">
        <v>215</v>
      </c>
      <c r="B174" s="2">
        <v>45786</v>
      </c>
      <c r="C174" s="1" t="s">
        <v>25</v>
      </c>
      <c r="D174" s="1">
        <v>1</v>
      </c>
      <c r="E174" s="1">
        <v>-913834.95</v>
      </c>
      <c r="F174" s="1">
        <v>0</v>
      </c>
      <c r="G174" s="1">
        <v>-158599.45000000001</v>
      </c>
      <c r="H174" s="1">
        <v>-755235.5</v>
      </c>
      <c r="I174" s="1" t="s">
        <v>26</v>
      </c>
      <c r="J174" s="1"/>
      <c r="K174" s="1"/>
      <c r="L174" s="1"/>
      <c r="M174" s="1" t="s">
        <v>27</v>
      </c>
      <c r="N174" s="1"/>
      <c r="O174" s="1"/>
      <c r="P174" s="1" t="s">
        <v>28</v>
      </c>
      <c r="Q174" s="1" t="s">
        <v>46</v>
      </c>
      <c r="R174" s="1" t="s">
        <v>47</v>
      </c>
      <c r="S174" s="1">
        <v>75</v>
      </c>
      <c r="T174" s="1">
        <v>6972.1</v>
      </c>
      <c r="U174" s="1">
        <v>21</v>
      </c>
      <c r="V174" s="1">
        <v>8436.241</v>
      </c>
      <c r="W174" s="1">
        <v>0</v>
      </c>
      <c r="X174" s="1">
        <v>0</v>
      </c>
      <c r="Y174" s="1">
        <v>0</v>
      </c>
      <c r="Z174" s="1">
        <v>522907.5</v>
      </c>
      <c r="AA174" s="1"/>
    </row>
    <row r="175" spans="1:27" hidden="1" x14ac:dyDescent="0.3">
      <c r="A175" s="1" t="s">
        <v>215</v>
      </c>
      <c r="B175" s="2">
        <v>45786</v>
      </c>
      <c r="C175" s="1" t="s">
        <v>25</v>
      </c>
      <c r="D175" s="1">
        <v>1</v>
      </c>
      <c r="E175" s="1">
        <v>-913834.95</v>
      </c>
      <c r="F175" s="1">
        <v>0</v>
      </c>
      <c r="G175" s="1">
        <v>-158599.45000000001</v>
      </c>
      <c r="H175" s="1">
        <v>-755235.5</v>
      </c>
      <c r="I175" s="1" t="s">
        <v>26</v>
      </c>
      <c r="J175" s="1"/>
      <c r="K175" s="1"/>
      <c r="L175" s="1"/>
      <c r="M175" s="1" t="s">
        <v>27</v>
      </c>
      <c r="N175" s="1"/>
      <c r="O175" s="1"/>
      <c r="P175" s="1" t="s">
        <v>28</v>
      </c>
      <c r="Q175" s="1" t="s">
        <v>58</v>
      </c>
      <c r="R175" s="1" t="s">
        <v>59</v>
      </c>
      <c r="S175" s="1">
        <v>20</v>
      </c>
      <c r="T175" s="1">
        <v>11616.4</v>
      </c>
      <c r="U175" s="1">
        <v>21</v>
      </c>
      <c r="V175" s="1">
        <v>14055.843999999999</v>
      </c>
      <c r="W175" s="1">
        <v>0</v>
      </c>
      <c r="X175" s="1">
        <v>0</v>
      </c>
      <c r="Y175" s="1">
        <v>0</v>
      </c>
      <c r="Z175" s="1">
        <v>232328</v>
      </c>
      <c r="AA175" s="1"/>
    </row>
    <row r="176" spans="1:27" hidden="1" x14ac:dyDescent="0.3">
      <c r="A176" s="1" t="s">
        <v>216</v>
      </c>
      <c r="B176" s="2">
        <v>45789</v>
      </c>
      <c r="C176" s="1" t="s">
        <v>25</v>
      </c>
      <c r="D176" s="1">
        <v>1</v>
      </c>
      <c r="E176" s="1">
        <v>-2051418.88</v>
      </c>
      <c r="F176" s="1">
        <v>0</v>
      </c>
      <c r="G176" s="1">
        <v>-356031.38</v>
      </c>
      <c r="H176" s="1">
        <v>-1695387.5</v>
      </c>
      <c r="I176" s="1" t="s">
        <v>26</v>
      </c>
      <c r="J176" s="1"/>
      <c r="K176" s="1"/>
      <c r="L176" s="1"/>
      <c r="M176" s="1" t="s">
        <v>27</v>
      </c>
      <c r="N176" s="1"/>
      <c r="O176" s="1"/>
      <c r="P176" s="1" t="s">
        <v>28</v>
      </c>
      <c r="Q176" s="1" t="s">
        <v>46</v>
      </c>
      <c r="R176" s="1" t="s">
        <v>47</v>
      </c>
      <c r="S176" s="1">
        <v>75</v>
      </c>
      <c r="T176" s="1">
        <v>7095.5</v>
      </c>
      <c r="U176" s="1">
        <v>21</v>
      </c>
      <c r="V176" s="1">
        <v>8585.5550000000003</v>
      </c>
      <c r="W176" s="1">
        <v>0</v>
      </c>
      <c r="X176" s="1">
        <v>0</v>
      </c>
      <c r="Y176" s="1">
        <v>0</v>
      </c>
      <c r="Z176" s="1">
        <v>532162.5</v>
      </c>
      <c r="AA176" s="1"/>
    </row>
    <row r="177" spans="1:27" hidden="1" x14ac:dyDescent="0.3">
      <c r="A177" s="1" t="s">
        <v>216</v>
      </c>
      <c r="B177" s="2">
        <v>45789</v>
      </c>
      <c r="C177" s="1" t="s">
        <v>25</v>
      </c>
      <c r="D177" s="1">
        <v>1</v>
      </c>
      <c r="E177" s="1">
        <v>-2051418.88</v>
      </c>
      <c r="F177" s="1">
        <v>0</v>
      </c>
      <c r="G177" s="1">
        <v>-356031.38</v>
      </c>
      <c r="H177" s="1">
        <v>-1695387.5</v>
      </c>
      <c r="I177" s="1" t="s">
        <v>26</v>
      </c>
      <c r="J177" s="1"/>
      <c r="K177" s="1"/>
      <c r="L177" s="1"/>
      <c r="M177" s="1" t="s">
        <v>27</v>
      </c>
      <c r="N177" s="1"/>
      <c r="O177" s="1"/>
      <c r="P177" s="1" t="s">
        <v>28</v>
      </c>
      <c r="Q177" s="1" t="s">
        <v>29</v>
      </c>
      <c r="R177" s="1" t="s">
        <v>30</v>
      </c>
      <c r="S177" s="1">
        <v>75</v>
      </c>
      <c r="T177" s="1">
        <v>8050</v>
      </c>
      <c r="U177" s="1">
        <v>21</v>
      </c>
      <c r="V177" s="1">
        <v>9740.5</v>
      </c>
      <c r="W177" s="1">
        <v>0</v>
      </c>
      <c r="X177" s="1">
        <v>0</v>
      </c>
      <c r="Y177" s="1">
        <v>0</v>
      </c>
      <c r="Z177" s="1">
        <v>603750</v>
      </c>
      <c r="AA177" s="1"/>
    </row>
    <row r="178" spans="1:27" hidden="1" x14ac:dyDescent="0.3">
      <c r="A178" s="1" t="s">
        <v>216</v>
      </c>
      <c r="B178" s="2">
        <v>45789</v>
      </c>
      <c r="C178" s="1" t="s">
        <v>25</v>
      </c>
      <c r="D178" s="1">
        <v>1</v>
      </c>
      <c r="E178" s="1">
        <v>-2051418.88</v>
      </c>
      <c r="F178" s="1">
        <v>0</v>
      </c>
      <c r="G178" s="1">
        <v>-356031.38</v>
      </c>
      <c r="H178" s="1">
        <v>-1695387.5</v>
      </c>
      <c r="I178" s="1" t="s">
        <v>26</v>
      </c>
      <c r="J178" s="1"/>
      <c r="K178" s="1"/>
      <c r="L178" s="1"/>
      <c r="M178" s="1" t="s">
        <v>27</v>
      </c>
      <c r="N178" s="1"/>
      <c r="O178" s="1"/>
      <c r="P178" s="1" t="s">
        <v>28</v>
      </c>
      <c r="Q178" s="1" t="s">
        <v>61</v>
      </c>
      <c r="R178" s="1" t="s">
        <v>62</v>
      </c>
      <c r="S178" s="1">
        <v>25</v>
      </c>
      <c r="T178" s="1">
        <v>7429</v>
      </c>
      <c r="U178" s="1">
        <v>21</v>
      </c>
      <c r="V178" s="1">
        <v>8989.09</v>
      </c>
      <c r="W178" s="1">
        <v>0</v>
      </c>
      <c r="X178" s="1">
        <v>0</v>
      </c>
      <c r="Y178" s="1">
        <v>0</v>
      </c>
      <c r="Z178" s="1">
        <v>185725</v>
      </c>
      <c r="AA178" s="1"/>
    </row>
    <row r="179" spans="1:27" hidden="1" x14ac:dyDescent="0.3">
      <c r="A179" s="1" t="s">
        <v>216</v>
      </c>
      <c r="B179" s="2">
        <v>45789</v>
      </c>
      <c r="C179" s="1" t="s">
        <v>25</v>
      </c>
      <c r="D179" s="1">
        <v>1</v>
      </c>
      <c r="E179" s="1">
        <v>-2051418.88</v>
      </c>
      <c r="F179" s="1">
        <v>0</v>
      </c>
      <c r="G179" s="1">
        <v>-356031.38</v>
      </c>
      <c r="H179" s="1">
        <v>-1695387.5</v>
      </c>
      <c r="I179" s="1" t="s">
        <v>26</v>
      </c>
      <c r="J179" s="1"/>
      <c r="K179" s="1"/>
      <c r="L179" s="1"/>
      <c r="M179" s="1" t="s">
        <v>27</v>
      </c>
      <c r="N179" s="1"/>
      <c r="O179" s="1"/>
      <c r="P179" s="1" t="s">
        <v>28</v>
      </c>
      <c r="Q179" s="1" t="s">
        <v>171</v>
      </c>
      <c r="R179" s="1" t="s">
        <v>172</v>
      </c>
      <c r="S179" s="1">
        <v>50</v>
      </c>
      <c r="T179" s="1">
        <v>7475</v>
      </c>
      <c r="U179" s="1">
        <v>21</v>
      </c>
      <c r="V179" s="1">
        <v>9044.75</v>
      </c>
      <c r="W179" s="1">
        <v>0</v>
      </c>
      <c r="X179" s="1">
        <v>0</v>
      </c>
      <c r="Y179" s="1">
        <v>0</v>
      </c>
      <c r="Z179" s="1">
        <v>373750</v>
      </c>
      <c r="AA179" s="1"/>
    </row>
    <row r="180" spans="1:27" hidden="1" x14ac:dyDescent="0.3">
      <c r="A180" s="1" t="s">
        <v>217</v>
      </c>
      <c r="B180" s="2">
        <v>45790</v>
      </c>
      <c r="C180" s="1" t="s">
        <v>25</v>
      </c>
      <c r="D180" s="1">
        <v>1</v>
      </c>
      <c r="E180" s="1">
        <v>-729772.18</v>
      </c>
      <c r="F180" s="1">
        <v>0</v>
      </c>
      <c r="G180" s="1">
        <v>-126654.68</v>
      </c>
      <c r="H180" s="1">
        <v>-603117.5</v>
      </c>
      <c r="I180" s="1" t="s">
        <v>26</v>
      </c>
      <c r="J180" s="1"/>
      <c r="K180" s="1"/>
      <c r="L180" s="1"/>
      <c r="M180" s="1" t="s">
        <v>27</v>
      </c>
      <c r="N180" s="1"/>
      <c r="O180" s="1"/>
      <c r="P180" s="1" t="s">
        <v>28</v>
      </c>
      <c r="Q180" s="1" t="s">
        <v>46</v>
      </c>
      <c r="R180" s="1" t="s">
        <v>47</v>
      </c>
      <c r="S180" s="1">
        <v>85</v>
      </c>
      <c r="T180" s="1">
        <v>7095.5</v>
      </c>
      <c r="U180" s="1">
        <v>21</v>
      </c>
      <c r="V180" s="1">
        <v>8585.5550000000003</v>
      </c>
      <c r="W180" s="1">
        <v>0</v>
      </c>
      <c r="X180" s="1">
        <v>0</v>
      </c>
      <c r="Y180" s="1">
        <v>0</v>
      </c>
      <c r="Z180" s="1">
        <v>603117.5</v>
      </c>
      <c r="AA180" s="1"/>
    </row>
    <row r="181" spans="1:27" hidden="1" x14ac:dyDescent="0.3">
      <c r="A181" s="1" t="s">
        <v>218</v>
      </c>
      <c r="B181" s="2">
        <v>45790</v>
      </c>
      <c r="C181" s="1" t="s">
        <v>25</v>
      </c>
      <c r="D181" s="1">
        <v>1</v>
      </c>
      <c r="E181" s="1">
        <v>-858555.5</v>
      </c>
      <c r="F181" s="1">
        <v>0</v>
      </c>
      <c r="G181" s="1">
        <v>-149005.5</v>
      </c>
      <c r="H181" s="1">
        <v>-709550</v>
      </c>
      <c r="I181" s="1" t="s">
        <v>26</v>
      </c>
      <c r="J181" s="1"/>
      <c r="K181" s="1"/>
      <c r="L181" s="1"/>
      <c r="M181" s="1" t="s">
        <v>27</v>
      </c>
      <c r="N181" s="1"/>
      <c r="O181" s="1"/>
      <c r="P181" s="1" t="s">
        <v>28</v>
      </c>
      <c r="Q181" s="1" t="s">
        <v>46</v>
      </c>
      <c r="R181" s="1" t="s">
        <v>47</v>
      </c>
      <c r="S181" s="1">
        <v>100</v>
      </c>
      <c r="T181" s="1">
        <v>7095.5</v>
      </c>
      <c r="U181" s="1">
        <v>21</v>
      </c>
      <c r="V181" s="1">
        <v>8585.5550000000003</v>
      </c>
      <c r="W181" s="1">
        <v>0</v>
      </c>
      <c r="X181" s="1">
        <v>0</v>
      </c>
      <c r="Y181" s="1">
        <v>0</v>
      </c>
      <c r="Z181" s="1">
        <v>709550</v>
      </c>
      <c r="AA181" s="1"/>
    </row>
    <row r="182" spans="1:27" hidden="1" x14ac:dyDescent="0.3">
      <c r="A182" s="1" t="s">
        <v>219</v>
      </c>
      <c r="B182" s="2">
        <v>45791</v>
      </c>
      <c r="C182" s="1" t="s">
        <v>25</v>
      </c>
      <c r="D182" s="1">
        <v>1</v>
      </c>
      <c r="E182" s="1">
        <v>-1621932.4</v>
      </c>
      <c r="F182" s="1">
        <v>0</v>
      </c>
      <c r="G182" s="1">
        <v>-281492.40000000002</v>
      </c>
      <c r="H182" s="1">
        <v>-1340440</v>
      </c>
      <c r="I182" s="1" t="s">
        <v>26</v>
      </c>
      <c r="J182" s="1"/>
      <c r="K182" s="1"/>
      <c r="L182" s="1"/>
      <c r="M182" s="1" t="s">
        <v>27</v>
      </c>
      <c r="N182" s="1"/>
      <c r="O182" s="1"/>
      <c r="P182" s="1" t="s">
        <v>28</v>
      </c>
      <c r="Q182" s="1" t="s">
        <v>29</v>
      </c>
      <c r="R182" s="1" t="s">
        <v>30</v>
      </c>
      <c r="S182" s="1">
        <v>75</v>
      </c>
      <c r="T182" s="1">
        <v>8050</v>
      </c>
      <c r="U182" s="1">
        <v>21</v>
      </c>
      <c r="V182" s="1">
        <v>9740.5</v>
      </c>
      <c r="W182" s="1">
        <v>0</v>
      </c>
      <c r="X182" s="1">
        <v>0</v>
      </c>
      <c r="Y182" s="1">
        <v>0</v>
      </c>
      <c r="Z182" s="1">
        <v>603750</v>
      </c>
      <c r="AA182" s="1"/>
    </row>
    <row r="183" spans="1:27" hidden="1" x14ac:dyDescent="0.3">
      <c r="A183" s="1" t="s">
        <v>219</v>
      </c>
      <c r="B183" s="2">
        <v>45791</v>
      </c>
      <c r="C183" s="1" t="s">
        <v>25</v>
      </c>
      <c r="D183" s="1">
        <v>1</v>
      </c>
      <c r="E183" s="1">
        <v>-1621932.4</v>
      </c>
      <c r="F183" s="1">
        <v>0</v>
      </c>
      <c r="G183" s="1">
        <v>-281492.40000000002</v>
      </c>
      <c r="H183" s="1">
        <v>-1340440</v>
      </c>
      <c r="I183" s="1" t="s">
        <v>26</v>
      </c>
      <c r="J183" s="1"/>
      <c r="K183" s="1"/>
      <c r="L183" s="1"/>
      <c r="M183" s="1" t="s">
        <v>27</v>
      </c>
      <c r="N183" s="1"/>
      <c r="O183" s="1"/>
      <c r="P183" s="1" t="s">
        <v>28</v>
      </c>
      <c r="Q183" s="1" t="s">
        <v>58</v>
      </c>
      <c r="R183" s="1" t="s">
        <v>59</v>
      </c>
      <c r="S183" s="1">
        <v>20</v>
      </c>
      <c r="T183" s="1">
        <v>11822</v>
      </c>
      <c r="U183" s="1">
        <v>21</v>
      </c>
      <c r="V183" s="1">
        <v>14304.62</v>
      </c>
      <c r="W183" s="1">
        <v>0</v>
      </c>
      <c r="X183" s="1">
        <v>0</v>
      </c>
      <c r="Y183" s="1">
        <v>0</v>
      </c>
      <c r="Z183" s="1">
        <v>236440</v>
      </c>
      <c r="AA183" s="1"/>
    </row>
    <row r="184" spans="1:27" hidden="1" x14ac:dyDescent="0.3">
      <c r="A184" s="1" t="s">
        <v>219</v>
      </c>
      <c r="B184" s="2">
        <v>45791</v>
      </c>
      <c r="C184" s="1" t="s">
        <v>25</v>
      </c>
      <c r="D184" s="1">
        <v>1</v>
      </c>
      <c r="E184" s="1">
        <v>-1621932.4</v>
      </c>
      <c r="F184" s="1">
        <v>0</v>
      </c>
      <c r="G184" s="1">
        <v>-281492.40000000002</v>
      </c>
      <c r="H184" s="1">
        <v>-1340440</v>
      </c>
      <c r="I184" s="1" t="s">
        <v>26</v>
      </c>
      <c r="J184" s="1"/>
      <c r="K184" s="1"/>
      <c r="L184" s="1"/>
      <c r="M184" s="1" t="s">
        <v>27</v>
      </c>
      <c r="N184" s="1"/>
      <c r="O184" s="1"/>
      <c r="P184" s="1" t="s">
        <v>28</v>
      </c>
      <c r="Q184" s="1" t="s">
        <v>33</v>
      </c>
      <c r="R184" s="1" t="s">
        <v>34</v>
      </c>
      <c r="S184" s="1">
        <v>50</v>
      </c>
      <c r="T184" s="1">
        <v>10005</v>
      </c>
      <c r="U184" s="1">
        <v>21</v>
      </c>
      <c r="V184" s="1">
        <v>12106.05</v>
      </c>
      <c r="W184" s="1">
        <v>0</v>
      </c>
      <c r="X184" s="1">
        <v>0</v>
      </c>
      <c r="Y184" s="1">
        <v>0</v>
      </c>
      <c r="Z184" s="1">
        <v>500250</v>
      </c>
      <c r="AA184" s="1"/>
    </row>
    <row r="185" spans="1:27" hidden="1" x14ac:dyDescent="0.3">
      <c r="A185" s="1" t="s">
        <v>220</v>
      </c>
      <c r="B185" s="2">
        <v>45793</v>
      </c>
      <c r="C185" s="1" t="s">
        <v>25</v>
      </c>
      <c r="D185" s="1">
        <v>1</v>
      </c>
      <c r="E185" s="1">
        <v>-553817</v>
      </c>
      <c r="F185" s="1">
        <v>0</v>
      </c>
      <c r="G185" s="1">
        <v>-96117</v>
      </c>
      <c r="H185" s="1">
        <v>-457700</v>
      </c>
      <c r="I185" s="1" t="s">
        <v>26</v>
      </c>
      <c r="J185" s="1"/>
      <c r="K185" s="1"/>
      <c r="L185" s="1"/>
      <c r="M185" s="1" t="s">
        <v>27</v>
      </c>
      <c r="N185" s="1"/>
      <c r="O185" s="1"/>
      <c r="P185" s="1" t="s">
        <v>28</v>
      </c>
      <c r="Q185" s="1" t="s">
        <v>49</v>
      </c>
      <c r="R185" s="1" t="s">
        <v>50</v>
      </c>
      <c r="S185" s="1">
        <v>40</v>
      </c>
      <c r="T185" s="1">
        <v>11442.5</v>
      </c>
      <c r="U185" s="1">
        <v>21</v>
      </c>
      <c r="V185" s="1">
        <v>13845.424999999999</v>
      </c>
      <c r="W185" s="1">
        <v>0</v>
      </c>
      <c r="X185" s="1">
        <v>0</v>
      </c>
      <c r="Y185" s="1">
        <v>0</v>
      </c>
      <c r="Z185" s="1">
        <v>457700</v>
      </c>
      <c r="AA185" s="1"/>
    </row>
    <row r="186" spans="1:27" hidden="1" x14ac:dyDescent="0.3">
      <c r="A186" s="1" t="s">
        <v>221</v>
      </c>
      <c r="B186" s="2">
        <v>45793</v>
      </c>
      <c r="C186" s="1" t="s">
        <v>25</v>
      </c>
      <c r="D186" s="1">
        <v>1</v>
      </c>
      <c r="E186" s="1">
        <v>-1619845.15</v>
      </c>
      <c r="F186" s="1">
        <v>0</v>
      </c>
      <c r="G186" s="1">
        <v>-281130.15000000002</v>
      </c>
      <c r="H186" s="1">
        <v>-1338715</v>
      </c>
      <c r="I186" s="1" t="s">
        <v>26</v>
      </c>
      <c r="J186" s="1"/>
      <c r="K186" s="1"/>
      <c r="L186" s="1"/>
      <c r="M186" s="1" t="s">
        <v>27</v>
      </c>
      <c r="N186" s="1"/>
      <c r="O186" s="1"/>
      <c r="P186" s="1" t="s">
        <v>28</v>
      </c>
      <c r="Q186" s="1" t="s">
        <v>46</v>
      </c>
      <c r="R186" s="1" t="s">
        <v>47</v>
      </c>
      <c r="S186" s="1">
        <v>50</v>
      </c>
      <c r="T186" s="1">
        <v>7095.5</v>
      </c>
      <c r="U186" s="1">
        <v>21</v>
      </c>
      <c r="V186" s="1">
        <v>8585.5550000000003</v>
      </c>
      <c r="W186" s="1">
        <v>0</v>
      </c>
      <c r="X186" s="1">
        <v>0</v>
      </c>
      <c r="Y186" s="1">
        <v>0</v>
      </c>
      <c r="Z186" s="1">
        <v>354775</v>
      </c>
      <c r="AA186" s="1"/>
    </row>
    <row r="187" spans="1:27" hidden="1" x14ac:dyDescent="0.3">
      <c r="A187" s="1" t="s">
        <v>221</v>
      </c>
      <c r="B187" s="2">
        <v>45793</v>
      </c>
      <c r="C187" s="1" t="s">
        <v>25</v>
      </c>
      <c r="D187" s="1">
        <v>1</v>
      </c>
      <c r="E187" s="1">
        <v>-1619845.15</v>
      </c>
      <c r="F187" s="1">
        <v>0</v>
      </c>
      <c r="G187" s="1">
        <v>-281130.15000000002</v>
      </c>
      <c r="H187" s="1">
        <v>-1338715</v>
      </c>
      <c r="I187" s="1" t="s">
        <v>26</v>
      </c>
      <c r="J187" s="1"/>
      <c r="K187" s="1"/>
      <c r="L187" s="1"/>
      <c r="M187" s="1" t="s">
        <v>27</v>
      </c>
      <c r="N187" s="1"/>
      <c r="O187" s="1"/>
      <c r="P187" s="1" t="s">
        <v>28</v>
      </c>
      <c r="Q187" s="1" t="s">
        <v>58</v>
      </c>
      <c r="R187" s="1" t="s">
        <v>59</v>
      </c>
      <c r="S187" s="1">
        <v>20</v>
      </c>
      <c r="T187" s="1">
        <v>11822</v>
      </c>
      <c r="U187" s="1">
        <v>21</v>
      </c>
      <c r="V187" s="1">
        <v>14304.62</v>
      </c>
      <c r="W187" s="1">
        <v>0</v>
      </c>
      <c r="X187" s="1">
        <v>0</v>
      </c>
      <c r="Y187" s="1">
        <v>0</v>
      </c>
      <c r="Z187" s="1">
        <v>236440</v>
      </c>
      <c r="AA187" s="1"/>
    </row>
    <row r="188" spans="1:27" hidden="1" x14ac:dyDescent="0.3">
      <c r="A188" s="1" t="s">
        <v>221</v>
      </c>
      <c r="B188" s="2">
        <v>45793</v>
      </c>
      <c r="C188" s="1" t="s">
        <v>25</v>
      </c>
      <c r="D188" s="1">
        <v>1</v>
      </c>
      <c r="E188" s="1">
        <v>-1619845.15</v>
      </c>
      <c r="F188" s="1">
        <v>0</v>
      </c>
      <c r="G188" s="1">
        <v>-281130.15000000002</v>
      </c>
      <c r="H188" s="1">
        <v>-1338715</v>
      </c>
      <c r="I188" s="1" t="s">
        <v>26</v>
      </c>
      <c r="J188" s="1"/>
      <c r="K188" s="1"/>
      <c r="L188" s="1"/>
      <c r="M188" s="1" t="s">
        <v>27</v>
      </c>
      <c r="N188" s="1"/>
      <c r="O188" s="1"/>
      <c r="P188" s="1" t="s">
        <v>28</v>
      </c>
      <c r="Q188" s="1" t="s">
        <v>171</v>
      </c>
      <c r="R188" s="1" t="s">
        <v>172</v>
      </c>
      <c r="S188" s="1">
        <v>100</v>
      </c>
      <c r="T188" s="1">
        <v>7475</v>
      </c>
      <c r="U188" s="1">
        <v>21</v>
      </c>
      <c r="V188" s="1">
        <v>9044.75</v>
      </c>
      <c r="W188" s="1">
        <v>0</v>
      </c>
      <c r="X188" s="1">
        <v>0</v>
      </c>
      <c r="Y188" s="1">
        <v>0</v>
      </c>
      <c r="Z188" s="1">
        <v>747500</v>
      </c>
      <c r="AA188" s="1"/>
    </row>
    <row r="189" spans="1:27" hidden="1" x14ac:dyDescent="0.3">
      <c r="A189" s="1" t="s">
        <v>222</v>
      </c>
      <c r="B189" s="2">
        <v>45796</v>
      </c>
      <c r="C189" s="1" t="s">
        <v>25</v>
      </c>
      <c r="D189" s="1">
        <v>1</v>
      </c>
      <c r="E189" s="1">
        <v>-2002368.5</v>
      </c>
      <c r="F189" s="1">
        <v>0</v>
      </c>
      <c r="G189" s="1">
        <v>-347518.5</v>
      </c>
      <c r="H189" s="1">
        <v>-1654850</v>
      </c>
      <c r="I189" s="1" t="s">
        <v>26</v>
      </c>
      <c r="J189" s="1"/>
      <c r="K189" s="1"/>
      <c r="L189" s="1"/>
      <c r="M189" s="1" t="s">
        <v>27</v>
      </c>
      <c r="N189" s="1"/>
      <c r="O189" s="1"/>
      <c r="P189" s="1" t="s">
        <v>28</v>
      </c>
      <c r="Q189" s="1" t="s">
        <v>29</v>
      </c>
      <c r="R189" s="1" t="s">
        <v>30</v>
      </c>
      <c r="S189" s="1">
        <v>150</v>
      </c>
      <c r="T189" s="1">
        <v>7590</v>
      </c>
      <c r="U189" s="1">
        <v>21</v>
      </c>
      <c r="V189" s="1">
        <v>9183.9</v>
      </c>
      <c r="W189" s="1">
        <v>0</v>
      </c>
      <c r="X189" s="1">
        <v>0</v>
      </c>
      <c r="Y189" s="1">
        <v>0</v>
      </c>
      <c r="Z189" s="1">
        <v>1138500</v>
      </c>
      <c r="AA189" s="1"/>
    </row>
    <row r="190" spans="1:27" hidden="1" x14ac:dyDescent="0.3">
      <c r="A190" s="1" t="s">
        <v>222</v>
      </c>
      <c r="B190" s="2">
        <v>45796</v>
      </c>
      <c r="C190" s="1" t="s">
        <v>25</v>
      </c>
      <c r="D190" s="1">
        <v>1</v>
      </c>
      <c r="E190" s="1">
        <v>-2002368.5</v>
      </c>
      <c r="F190" s="1">
        <v>0</v>
      </c>
      <c r="G190" s="1">
        <v>-347518.5</v>
      </c>
      <c r="H190" s="1">
        <v>-1654850</v>
      </c>
      <c r="I190" s="1" t="s">
        <v>26</v>
      </c>
      <c r="J190" s="1"/>
      <c r="K190" s="1"/>
      <c r="L190" s="1"/>
      <c r="M190" s="1" t="s">
        <v>27</v>
      </c>
      <c r="N190" s="1"/>
      <c r="O190" s="1"/>
      <c r="P190" s="1" t="s">
        <v>28</v>
      </c>
      <c r="Q190" s="1" t="s">
        <v>129</v>
      </c>
      <c r="R190" s="1" t="s">
        <v>130</v>
      </c>
      <c r="S190" s="1">
        <v>50</v>
      </c>
      <c r="T190" s="1">
        <v>10327</v>
      </c>
      <c r="U190" s="1">
        <v>21</v>
      </c>
      <c r="V190" s="1">
        <v>12495.67</v>
      </c>
      <c r="W190" s="1">
        <v>0</v>
      </c>
      <c r="X190" s="1">
        <v>0</v>
      </c>
      <c r="Y190" s="1">
        <v>0</v>
      </c>
      <c r="Z190" s="1">
        <v>516350</v>
      </c>
      <c r="AA190" s="1"/>
    </row>
    <row r="191" spans="1:27" hidden="1" x14ac:dyDescent="0.3">
      <c r="A191" s="1" t="s">
        <v>223</v>
      </c>
      <c r="B191" s="2">
        <v>45797</v>
      </c>
      <c r="C191" s="1" t="s">
        <v>25</v>
      </c>
      <c r="D191" s="1">
        <v>1</v>
      </c>
      <c r="E191" s="1">
        <v>-1195604.03</v>
      </c>
      <c r="F191" s="1">
        <v>0</v>
      </c>
      <c r="G191" s="1">
        <v>-207501.53</v>
      </c>
      <c r="H191" s="1">
        <v>-988102.5</v>
      </c>
      <c r="I191" s="1" t="s">
        <v>26</v>
      </c>
      <c r="J191" s="1"/>
      <c r="K191" s="1"/>
      <c r="L191" s="1"/>
      <c r="M191" s="1" t="s">
        <v>27</v>
      </c>
      <c r="N191" s="1"/>
      <c r="O191" s="1"/>
      <c r="P191" s="1" t="s">
        <v>28</v>
      </c>
      <c r="Q191" s="1" t="s">
        <v>29</v>
      </c>
      <c r="R191" s="1" t="s">
        <v>30</v>
      </c>
      <c r="S191" s="1">
        <v>75</v>
      </c>
      <c r="T191" s="1">
        <v>7623</v>
      </c>
      <c r="U191" s="1">
        <v>21</v>
      </c>
      <c r="V191" s="1">
        <v>9223.83</v>
      </c>
      <c r="W191" s="1">
        <v>0</v>
      </c>
      <c r="X191" s="1">
        <v>0</v>
      </c>
      <c r="Y191" s="1">
        <v>0</v>
      </c>
      <c r="Z191" s="1">
        <v>571725</v>
      </c>
      <c r="AA191" s="1"/>
    </row>
    <row r="192" spans="1:27" hidden="1" x14ac:dyDescent="0.3">
      <c r="A192" s="1" t="s">
        <v>223</v>
      </c>
      <c r="B192" s="2">
        <v>45797</v>
      </c>
      <c r="C192" s="1" t="s">
        <v>25</v>
      </c>
      <c r="D192" s="1">
        <v>1</v>
      </c>
      <c r="E192" s="1">
        <v>-1195604.03</v>
      </c>
      <c r="F192" s="1">
        <v>0</v>
      </c>
      <c r="G192" s="1">
        <v>-207501.53</v>
      </c>
      <c r="H192" s="1">
        <v>-988102.5</v>
      </c>
      <c r="I192" s="1" t="s">
        <v>26</v>
      </c>
      <c r="J192" s="1"/>
      <c r="K192" s="1"/>
      <c r="L192" s="1"/>
      <c r="M192" s="1" t="s">
        <v>27</v>
      </c>
      <c r="N192" s="1"/>
      <c r="O192" s="1"/>
      <c r="P192" s="1" t="s">
        <v>28</v>
      </c>
      <c r="Q192" s="1" t="s">
        <v>49</v>
      </c>
      <c r="R192" s="1" t="s">
        <v>50</v>
      </c>
      <c r="S192" s="1">
        <v>20</v>
      </c>
      <c r="T192" s="1">
        <v>11492.25</v>
      </c>
      <c r="U192" s="1">
        <v>21</v>
      </c>
      <c r="V192" s="1">
        <v>13905.622499999999</v>
      </c>
      <c r="W192" s="1">
        <v>0</v>
      </c>
      <c r="X192" s="1">
        <v>0</v>
      </c>
      <c r="Y192" s="1">
        <v>0</v>
      </c>
      <c r="Z192" s="1">
        <v>229845</v>
      </c>
      <c r="AA192" s="1"/>
    </row>
    <row r="193" spans="1:27" hidden="1" x14ac:dyDescent="0.3">
      <c r="A193" s="1" t="s">
        <v>223</v>
      </c>
      <c r="B193" s="2">
        <v>45797</v>
      </c>
      <c r="C193" s="1" t="s">
        <v>25</v>
      </c>
      <c r="D193" s="1">
        <v>1</v>
      </c>
      <c r="E193" s="1">
        <v>-1195604.03</v>
      </c>
      <c r="F193" s="1">
        <v>0</v>
      </c>
      <c r="G193" s="1">
        <v>-207501.53</v>
      </c>
      <c r="H193" s="1">
        <v>-988102.5</v>
      </c>
      <c r="I193" s="1" t="s">
        <v>26</v>
      </c>
      <c r="J193" s="1"/>
      <c r="K193" s="1"/>
      <c r="L193" s="1"/>
      <c r="M193" s="1" t="s">
        <v>27</v>
      </c>
      <c r="N193" s="1"/>
      <c r="O193" s="1"/>
      <c r="P193" s="1" t="s">
        <v>28</v>
      </c>
      <c r="Q193" s="1" t="s">
        <v>61</v>
      </c>
      <c r="R193" s="1" t="s">
        <v>62</v>
      </c>
      <c r="S193" s="1">
        <v>25</v>
      </c>
      <c r="T193" s="1">
        <v>7461.3</v>
      </c>
      <c r="U193" s="1">
        <v>21</v>
      </c>
      <c r="V193" s="1">
        <v>9028.1730000000007</v>
      </c>
      <c r="W193" s="1">
        <v>0</v>
      </c>
      <c r="X193" s="1">
        <v>0</v>
      </c>
      <c r="Y193" s="1">
        <v>0</v>
      </c>
      <c r="Z193" s="1">
        <v>186532.5</v>
      </c>
      <c r="AA193" s="1"/>
    </row>
    <row r="194" spans="1:27" hidden="1" x14ac:dyDescent="0.3">
      <c r="A194" s="1" t="s">
        <v>224</v>
      </c>
      <c r="B194" s="2">
        <v>45798</v>
      </c>
      <c r="C194" s="1" t="s">
        <v>25</v>
      </c>
      <c r="D194" s="1">
        <v>1</v>
      </c>
      <c r="E194" s="1">
        <v>-280720</v>
      </c>
      <c r="F194" s="1">
        <v>0</v>
      </c>
      <c r="G194" s="1">
        <v>-48720</v>
      </c>
      <c r="H194" s="1">
        <v>-232000</v>
      </c>
      <c r="I194" s="1" t="s">
        <v>26</v>
      </c>
      <c r="J194" s="1"/>
      <c r="K194" s="1"/>
      <c r="L194" s="1"/>
      <c r="M194" s="1" t="s">
        <v>27</v>
      </c>
      <c r="N194" s="1"/>
      <c r="O194" s="1"/>
      <c r="P194" s="1" t="s">
        <v>28</v>
      </c>
      <c r="Q194" s="1" t="s">
        <v>31</v>
      </c>
      <c r="R194" s="1" t="s">
        <v>32</v>
      </c>
      <c r="S194" s="1">
        <v>25</v>
      </c>
      <c r="T194" s="1">
        <v>9280</v>
      </c>
      <c r="U194" s="1">
        <v>21</v>
      </c>
      <c r="V194" s="1">
        <v>11228.8</v>
      </c>
      <c r="W194" s="1">
        <v>0</v>
      </c>
      <c r="X194" s="1">
        <v>0</v>
      </c>
      <c r="Y194" s="1">
        <v>0</v>
      </c>
      <c r="Z194" s="1">
        <v>232000</v>
      </c>
      <c r="AA194" s="1"/>
    </row>
    <row r="195" spans="1:27" hidden="1" x14ac:dyDescent="0.3">
      <c r="A195" s="1" t="s">
        <v>225</v>
      </c>
      <c r="B195" s="2">
        <v>45799</v>
      </c>
      <c r="C195" s="1" t="s">
        <v>25</v>
      </c>
      <c r="D195" s="1">
        <v>1</v>
      </c>
      <c r="E195" s="1">
        <v>-567896.56000000006</v>
      </c>
      <c r="F195" s="1">
        <v>0</v>
      </c>
      <c r="G195" s="1">
        <v>-98560.56</v>
      </c>
      <c r="H195" s="1">
        <v>-469336</v>
      </c>
      <c r="I195" s="1" t="s">
        <v>26</v>
      </c>
      <c r="J195" s="1"/>
      <c r="K195" s="1"/>
      <c r="L195" s="1"/>
      <c r="M195" s="1" t="s">
        <v>27</v>
      </c>
      <c r="N195" s="1"/>
      <c r="O195" s="1"/>
      <c r="P195" s="1" t="s">
        <v>28</v>
      </c>
      <c r="Q195" s="1" t="s">
        <v>49</v>
      </c>
      <c r="R195" s="1" t="s">
        <v>50</v>
      </c>
      <c r="S195" s="1">
        <v>20</v>
      </c>
      <c r="T195" s="1">
        <v>11542</v>
      </c>
      <c r="U195" s="1">
        <v>21</v>
      </c>
      <c r="V195" s="1">
        <v>13965.82</v>
      </c>
      <c r="W195" s="1">
        <v>0</v>
      </c>
      <c r="X195" s="1">
        <v>0</v>
      </c>
      <c r="Y195" s="1">
        <v>0</v>
      </c>
      <c r="Z195" s="1">
        <v>230840</v>
      </c>
      <c r="AA195" s="1"/>
    </row>
    <row r="196" spans="1:27" hidden="1" x14ac:dyDescent="0.3">
      <c r="A196" s="1" t="s">
        <v>225</v>
      </c>
      <c r="B196" s="2">
        <v>45799</v>
      </c>
      <c r="C196" s="1" t="s">
        <v>25</v>
      </c>
      <c r="D196" s="1">
        <v>1</v>
      </c>
      <c r="E196" s="1">
        <v>-567896.56000000006</v>
      </c>
      <c r="F196" s="1">
        <v>0</v>
      </c>
      <c r="G196" s="1">
        <v>-98560.56</v>
      </c>
      <c r="H196" s="1">
        <v>-469336</v>
      </c>
      <c r="I196" s="1" t="s">
        <v>26</v>
      </c>
      <c r="J196" s="1"/>
      <c r="K196" s="1"/>
      <c r="L196" s="1"/>
      <c r="M196" s="1" t="s">
        <v>27</v>
      </c>
      <c r="N196" s="1"/>
      <c r="O196" s="1"/>
      <c r="P196" s="1" t="s">
        <v>28</v>
      </c>
      <c r="Q196" s="1" t="s">
        <v>58</v>
      </c>
      <c r="R196" s="1" t="s">
        <v>59</v>
      </c>
      <c r="S196" s="1">
        <v>20</v>
      </c>
      <c r="T196" s="1">
        <v>11924.8</v>
      </c>
      <c r="U196" s="1">
        <v>21</v>
      </c>
      <c r="V196" s="1">
        <v>14429.008</v>
      </c>
      <c r="W196" s="1">
        <v>0</v>
      </c>
      <c r="X196" s="1">
        <v>0</v>
      </c>
      <c r="Y196" s="1">
        <v>0</v>
      </c>
      <c r="Z196" s="1">
        <v>238496</v>
      </c>
      <c r="AA196" s="1"/>
    </row>
    <row r="197" spans="1:27" hidden="1" x14ac:dyDescent="0.3">
      <c r="A197" s="1" t="s">
        <v>226</v>
      </c>
      <c r="B197" s="2">
        <v>45800</v>
      </c>
      <c r="C197" s="1" t="s">
        <v>25</v>
      </c>
      <c r="D197" s="1">
        <v>1</v>
      </c>
      <c r="E197" s="1">
        <v>-273221.03000000003</v>
      </c>
      <c r="F197" s="1">
        <v>0</v>
      </c>
      <c r="G197" s="1">
        <v>-47418.53</v>
      </c>
      <c r="H197" s="1">
        <v>-225802.5</v>
      </c>
      <c r="I197" s="1" t="s">
        <v>26</v>
      </c>
      <c r="J197" s="1"/>
      <c r="K197" s="1"/>
      <c r="L197" s="1"/>
      <c r="M197" s="1" t="s">
        <v>27</v>
      </c>
      <c r="N197" s="1"/>
      <c r="O197" s="1"/>
      <c r="P197" s="1" t="s">
        <v>28</v>
      </c>
      <c r="Q197" s="1" t="s">
        <v>191</v>
      </c>
      <c r="R197" s="1" t="s">
        <v>192</v>
      </c>
      <c r="S197" s="1">
        <v>25</v>
      </c>
      <c r="T197" s="1">
        <v>9032.1</v>
      </c>
      <c r="U197" s="1">
        <v>21</v>
      </c>
      <c r="V197" s="1">
        <v>10928.841</v>
      </c>
      <c r="W197" s="1">
        <v>0</v>
      </c>
      <c r="X197" s="1">
        <v>0</v>
      </c>
      <c r="Y197" s="1">
        <v>0</v>
      </c>
      <c r="Z197" s="1">
        <v>225802.5</v>
      </c>
      <c r="AA197" s="1"/>
    </row>
    <row r="198" spans="1:27" hidden="1" x14ac:dyDescent="0.3">
      <c r="A198" s="1" t="s">
        <v>227</v>
      </c>
      <c r="B198" s="2">
        <v>45803</v>
      </c>
      <c r="C198" s="1" t="s">
        <v>25</v>
      </c>
      <c r="D198" s="1">
        <v>1</v>
      </c>
      <c r="E198" s="1">
        <v>-3164618.88</v>
      </c>
      <c r="F198" s="1">
        <v>0</v>
      </c>
      <c r="G198" s="1">
        <v>-549231.38</v>
      </c>
      <c r="H198" s="1">
        <v>-2615387.5</v>
      </c>
      <c r="I198" s="1" t="s">
        <v>26</v>
      </c>
      <c r="J198" s="1"/>
      <c r="K198" s="1"/>
      <c r="L198" s="1"/>
      <c r="M198" s="1" t="s">
        <v>27</v>
      </c>
      <c r="N198" s="1"/>
      <c r="O198" s="1"/>
      <c r="P198" s="1" t="s">
        <v>28</v>
      </c>
      <c r="Q198" s="1" t="s">
        <v>46</v>
      </c>
      <c r="R198" s="1" t="s">
        <v>47</v>
      </c>
      <c r="S198" s="1">
        <v>75</v>
      </c>
      <c r="T198" s="1">
        <v>7095.5</v>
      </c>
      <c r="U198" s="1">
        <v>21</v>
      </c>
      <c r="V198" s="1">
        <v>8585.5550000000003</v>
      </c>
      <c r="W198" s="1">
        <v>0</v>
      </c>
      <c r="X198" s="1">
        <v>0</v>
      </c>
      <c r="Y198" s="1">
        <v>0</v>
      </c>
      <c r="Z198" s="1">
        <v>532162.5</v>
      </c>
      <c r="AA198" s="1"/>
    </row>
    <row r="199" spans="1:27" hidden="1" x14ac:dyDescent="0.3">
      <c r="A199" s="1" t="s">
        <v>227</v>
      </c>
      <c r="B199" s="2">
        <v>45803</v>
      </c>
      <c r="C199" s="1" t="s">
        <v>25</v>
      </c>
      <c r="D199" s="1">
        <v>1</v>
      </c>
      <c r="E199" s="1">
        <v>-3164618.88</v>
      </c>
      <c r="F199" s="1">
        <v>0</v>
      </c>
      <c r="G199" s="1">
        <v>-549231.38</v>
      </c>
      <c r="H199" s="1">
        <v>-2615387.5</v>
      </c>
      <c r="I199" s="1" t="s">
        <v>26</v>
      </c>
      <c r="J199" s="1"/>
      <c r="K199" s="1"/>
      <c r="L199" s="1"/>
      <c r="M199" s="1" t="s">
        <v>27</v>
      </c>
      <c r="N199" s="1"/>
      <c r="O199" s="1"/>
      <c r="P199" s="1" t="s">
        <v>28</v>
      </c>
      <c r="Q199" s="1" t="s">
        <v>29</v>
      </c>
      <c r="R199" s="1" t="s">
        <v>30</v>
      </c>
      <c r="S199" s="1">
        <v>250</v>
      </c>
      <c r="T199" s="1">
        <v>7590</v>
      </c>
      <c r="U199" s="1">
        <v>21</v>
      </c>
      <c r="V199" s="1">
        <v>9183.9</v>
      </c>
      <c r="W199" s="1">
        <v>0</v>
      </c>
      <c r="X199" s="1">
        <v>0</v>
      </c>
      <c r="Y199" s="1">
        <v>0</v>
      </c>
      <c r="Z199" s="1">
        <v>1897500</v>
      </c>
      <c r="AA199" s="1"/>
    </row>
    <row r="200" spans="1:27" hidden="1" x14ac:dyDescent="0.3">
      <c r="A200" s="1" t="s">
        <v>227</v>
      </c>
      <c r="B200" s="2">
        <v>45803</v>
      </c>
      <c r="C200" s="1" t="s">
        <v>25</v>
      </c>
      <c r="D200" s="1">
        <v>1</v>
      </c>
      <c r="E200" s="1">
        <v>-3164618.88</v>
      </c>
      <c r="F200" s="1">
        <v>0</v>
      </c>
      <c r="G200" s="1">
        <v>-549231.38</v>
      </c>
      <c r="H200" s="1">
        <v>-2615387.5</v>
      </c>
      <c r="I200" s="1" t="s">
        <v>26</v>
      </c>
      <c r="J200" s="1"/>
      <c r="K200" s="1"/>
      <c r="L200" s="1"/>
      <c r="M200" s="1" t="s">
        <v>27</v>
      </c>
      <c r="N200" s="1"/>
      <c r="O200" s="1"/>
      <c r="P200" s="1" t="s">
        <v>28</v>
      </c>
      <c r="Q200" s="1" t="s">
        <v>61</v>
      </c>
      <c r="R200" s="1" t="s">
        <v>62</v>
      </c>
      <c r="S200" s="1">
        <v>25</v>
      </c>
      <c r="T200" s="1">
        <v>7429</v>
      </c>
      <c r="U200" s="1">
        <v>21</v>
      </c>
      <c r="V200" s="1">
        <v>8989.09</v>
      </c>
      <c r="W200" s="1">
        <v>0</v>
      </c>
      <c r="X200" s="1">
        <v>0</v>
      </c>
      <c r="Y200" s="1">
        <v>0</v>
      </c>
      <c r="Z200" s="1">
        <v>185725</v>
      </c>
      <c r="AA200" s="1"/>
    </row>
    <row r="201" spans="1:27" hidden="1" x14ac:dyDescent="0.3">
      <c r="A201" s="1" t="s">
        <v>228</v>
      </c>
      <c r="B201" s="2">
        <v>45804</v>
      </c>
      <c r="C201" s="1" t="s">
        <v>25</v>
      </c>
      <c r="D201" s="1">
        <v>1</v>
      </c>
      <c r="E201" s="1">
        <v>-797385.16</v>
      </c>
      <c r="F201" s="1">
        <v>0</v>
      </c>
      <c r="G201" s="1">
        <v>-138389.16</v>
      </c>
      <c r="H201" s="1">
        <v>-658996</v>
      </c>
      <c r="I201" s="1" t="s">
        <v>26</v>
      </c>
      <c r="J201" s="1"/>
      <c r="K201" s="1"/>
      <c r="L201" s="1"/>
      <c r="M201" s="1" t="s">
        <v>27</v>
      </c>
      <c r="N201" s="1"/>
      <c r="O201" s="1"/>
      <c r="P201" s="1" t="s">
        <v>28</v>
      </c>
      <c r="Q201" s="1" t="s">
        <v>75</v>
      </c>
      <c r="R201" s="1" t="s">
        <v>76</v>
      </c>
      <c r="S201" s="1">
        <v>20</v>
      </c>
      <c r="T201" s="1">
        <v>21610.799999999999</v>
      </c>
      <c r="U201" s="1">
        <v>21</v>
      </c>
      <c r="V201" s="1">
        <v>26149.067999999999</v>
      </c>
      <c r="W201" s="1">
        <v>0</v>
      </c>
      <c r="X201" s="1">
        <v>0</v>
      </c>
      <c r="Y201" s="1">
        <v>0</v>
      </c>
      <c r="Z201" s="1">
        <v>432216</v>
      </c>
      <c r="AA201" s="1"/>
    </row>
    <row r="202" spans="1:27" hidden="1" x14ac:dyDescent="0.3">
      <c r="A202" s="1" t="s">
        <v>228</v>
      </c>
      <c r="B202" s="2">
        <v>45804</v>
      </c>
      <c r="C202" s="1" t="s">
        <v>25</v>
      </c>
      <c r="D202" s="1">
        <v>1</v>
      </c>
      <c r="E202" s="1">
        <v>-797385.16</v>
      </c>
      <c r="F202" s="1">
        <v>0</v>
      </c>
      <c r="G202" s="1">
        <v>-138389.16</v>
      </c>
      <c r="H202" s="1">
        <v>-658996</v>
      </c>
      <c r="I202" s="1" t="s">
        <v>26</v>
      </c>
      <c r="J202" s="1"/>
      <c r="K202" s="1"/>
      <c r="L202" s="1"/>
      <c r="M202" s="1" t="s">
        <v>27</v>
      </c>
      <c r="N202" s="1"/>
      <c r="O202" s="1"/>
      <c r="P202" s="1" t="s">
        <v>28</v>
      </c>
      <c r="Q202" s="1" t="s">
        <v>191</v>
      </c>
      <c r="R202" s="1" t="s">
        <v>192</v>
      </c>
      <c r="S202" s="1">
        <v>25</v>
      </c>
      <c r="T202" s="1">
        <v>9071.2000000000007</v>
      </c>
      <c r="U202" s="1">
        <v>21</v>
      </c>
      <c r="V202" s="1">
        <v>10976.152</v>
      </c>
      <c r="W202" s="1">
        <v>0</v>
      </c>
      <c r="X202" s="1">
        <v>0</v>
      </c>
      <c r="Y202" s="1">
        <v>0</v>
      </c>
      <c r="Z202" s="1">
        <v>226780</v>
      </c>
      <c r="AA202" s="1"/>
    </row>
    <row r="203" spans="1:27" hidden="1" x14ac:dyDescent="0.3">
      <c r="A203" s="1" t="s">
        <v>229</v>
      </c>
      <c r="B203" s="2">
        <v>45805</v>
      </c>
      <c r="C203" s="1" t="s">
        <v>25</v>
      </c>
      <c r="D203" s="1">
        <v>1</v>
      </c>
      <c r="E203" s="1">
        <v>-1167952.5</v>
      </c>
      <c r="F203" s="1">
        <v>0</v>
      </c>
      <c r="G203" s="1">
        <v>-202702.5</v>
      </c>
      <c r="H203" s="1">
        <v>-965250</v>
      </c>
      <c r="I203" s="1" t="s">
        <v>26</v>
      </c>
      <c r="J203" s="1"/>
      <c r="K203" s="1"/>
      <c r="L203" s="1"/>
      <c r="M203" s="1" t="s">
        <v>27</v>
      </c>
      <c r="N203" s="1"/>
      <c r="O203" s="1"/>
      <c r="P203" s="1" t="s">
        <v>28</v>
      </c>
      <c r="Q203" s="1" t="s">
        <v>29</v>
      </c>
      <c r="R203" s="1" t="s">
        <v>30</v>
      </c>
      <c r="S203" s="1">
        <v>125</v>
      </c>
      <c r="T203" s="1">
        <v>7722</v>
      </c>
      <c r="U203" s="1">
        <v>21</v>
      </c>
      <c r="V203" s="1">
        <v>9343.6200000000008</v>
      </c>
      <c r="W203" s="1">
        <v>0</v>
      </c>
      <c r="X203" s="1">
        <v>0</v>
      </c>
      <c r="Y203" s="1">
        <v>0</v>
      </c>
      <c r="Z203" s="1">
        <v>965250</v>
      </c>
      <c r="AA203" s="1"/>
    </row>
    <row r="204" spans="1:27" hidden="1" x14ac:dyDescent="0.3">
      <c r="A204" s="1" t="s">
        <v>230</v>
      </c>
      <c r="B204" s="2">
        <v>45807</v>
      </c>
      <c r="C204" s="1" t="s">
        <v>25</v>
      </c>
      <c r="D204" s="1">
        <v>1</v>
      </c>
      <c r="E204" s="1">
        <v>-774450.82</v>
      </c>
      <c r="F204" s="1">
        <v>0</v>
      </c>
      <c r="G204" s="1">
        <v>-134408.82</v>
      </c>
      <c r="H204" s="1">
        <v>-640042</v>
      </c>
      <c r="I204" s="1" t="s">
        <v>26</v>
      </c>
      <c r="J204" s="1"/>
      <c r="K204" s="1"/>
      <c r="L204" s="1"/>
      <c r="M204" s="1" t="s">
        <v>27</v>
      </c>
      <c r="N204" s="1"/>
      <c r="O204" s="1"/>
      <c r="P204" s="1" t="s">
        <v>28</v>
      </c>
      <c r="Q204" s="1" t="s">
        <v>29</v>
      </c>
      <c r="R204" s="1" t="s">
        <v>30</v>
      </c>
      <c r="S204" s="1">
        <v>50</v>
      </c>
      <c r="T204" s="1">
        <v>7887</v>
      </c>
      <c r="U204" s="1">
        <v>21</v>
      </c>
      <c r="V204" s="1">
        <v>9543.27</v>
      </c>
      <c r="W204" s="1">
        <v>0</v>
      </c>
      <c r="X204" s="1">
        <v>0</v>
      </c>
      <c r="Y204" s="1">
        <v>0</v>
      </c>
      <c r="Z204" s="1">
        <v>394350</v>
      </c>
      <c r="AA204" s="1"/>
    </row>
    <row r="205" spans="1:27" hidden="1" x14ac:dyDescent="0.3">
      <c r="A205" s="1" t="s">
        <v>230</v>
      </c>
      <c r="B205" s="2">
        <v>45807</v>
      </c>
      <c r="C205" s="1" t="s">
        <v>25</v>
      </c>
      <c r="D205" s="1">
        <v>1</v>
      </c>
      <c r="E205" s="1">
        <v>-774450.82</v>
      </c>
      <c r="F205" s="1">
        <v>0</v>
      </c>
      <c r="G205" s="1">
        <v>-134408.82</v>
      </c>
      <c r="H205" s="1">
        <v>-640042</v>
      </c>
      <c r="I205" s="1" t="s">
        <v>26</v>
      </c>
      <c r="J205" s="1"/>
      <c r="K205" s="1"/>
      <c r="L205" s="1"/>
      <c r="M205" s="1" t="s">
        <v>27</v>
      </c>
      <c r="N205" s="1"/>
      <c r="O205" s="1"/>
      <c r="P205" s="1" t="s">
        <v>28</v>
      </c>
      <c r="Q205" s="1" t="s">
        <v>58</v>
      </c>
      <c r="R205" s="1" t="s">
        <v>59</v>
      </c>
      <c r="S205" s="1">
        <v>20</v>
      </c>
      <c r="T205" s="1">
        <v>12284.6</v>
      </c>
      <c r="U205" s="1">
        <v>21</v>
      </c>
      <c r="V205" s="1">
        <v>14864.366</v>
      </c>
      <c r="W205" s="1">
        <v>0</v>
      </c>
      <c r="X205" s="1">
        <v>0</v>
      </c>
      <c r="Y205" s="1">
        <v>0</v>
      </c>
      <c r="Z205" s="1">
        <v>245692</v>
      </c>
      <c r="AA205" s="1"/>
    </row>
    <row r="206" spans="1:27" hidden="1" x14ac:dyDescent="0.3">
      <c r="A206" s="1" t="s">
        <v>231</v>
      </c>
      <c r="B206" s="2">
        <v>45810</v>
      </c>
      <c r="C206" s="1" t="s">
        <v>25</v>
      </c>
      <c r="D206" s="1">
        <v>1</v>
      </c>
      <c r="E206" s="1">
        <v>-239580</v>
      </c>
      <c r="F206" s="1">
        <v>0</v>
      </c>
      <c r="G206" s="1">
        <v>-41580</v>
      </c>
      <c r="H206" s="1">
        <v>-198000</v>
      </c>
      <c r="I206" s="1" t="s">
        <v>26</v>
      </c>
      <c r="J206" s="1"/>
      <c r="K206" s="1" t="s">
        <v>232</v>
      </c>
      <c r="L206" s="1"/>
      <c r="M206" s="1" t="s">
        <v>27</v>
      </c>
      <c r="N206" s="1"/>
      <c r="O206" s="1"/>
      <c r="P206" s="1" t="s">
        <v>28</v>
      </c>
      <c r="Q206" s="1" t="s">
        <v>29</v>
      </c>
      <c r="R206" s="1" t="s">
        <v>30</v>
      </c>
      <c r="S206" s="1">
        <v>25</v>
      </c>
      <c r="T206" s="1">
        <v>7920</v>
      </c>
      <c r="U206" s="1">
        <v>21</v>
      </c>
      <c r="V206" s="1">
        <v>9583.2000000000007</v>
      </c>
      <c r="W206" s="1">
        <v>0</v>
      </c>
      <c r="X206" s="1">
        <v>0</v>
      </c>
      <c r="Y206" s="1">
        <v>0</v>
      </c>
      <c r="Z206" s="1">
        <v>198000</v>
      </c>
      <c r="AA206" s="1"/>
    </row>
    <row r="207" spans="1:27" hidden="1" x14ac:dyDescent="0.3">
      <c r="A207" s="1" t="s">
        <v>233</v>
      </c>
      <c r="B207" s="2">
        <v>45810</v>
      </c>
      <c r="C207" s="1" t="s">
        <v>25</v>
      </c>
      <c r="D207" s="1">
        <v>1</v>
      </c>
      <c r="E207" s="1">
        <v>-958320</v>
      </c>
      <c r="F207" s="1">
        <v>0</v>
      </c>
      <c r="G207" s="1">
        <v>-166320</v>
      </c>
      <c r="H207" s="1">
        <v>-792000</v>
      </c>
      <c r="I207" s="1" t="s">
        <v>26</v>
      </c>
      <c r="J207" s="1"/>
      <c r="K207" s="1" t="s">
        <v>232</v>
      </c>
      <c r="L207" s="1"/>
      <c r="M207" s="1" t="s">
        <v>27</v>
      </c>
      <c r="N207" s="1"/>
      <c r="O207" s="1"/>
      <c r="P207" s="1" t="s">
        <v>28</v>
      </c>
      <c r="Q207" s="1" t="s">
        <v>29</v>
      </c>
      <c r="R207" s="1" t="s">
        <v>30</v>
      </c>
      <c r="S207" s="1">
        <v>100</v>
      </c>
      <c r="T207" s="1">
        <v>7920</v>
      </c>
      <c r="U207" s="1">
        <v>21</v>
      </c>
      <c r="V207" s="1">
        <v>9583.2000000000007</v>
      </c>
      <c r="W207" s="1">
        <v>0</v>
      </c>
      <c r="X207" s="1">
        <v>0</v>
      </c>
      <c r="Y207" s="1">
        <v>0</v>
      </c>
      <c r="Z207" s="1">
        <v>792000</v>
      </c>
      <c r="AA207" s="1"/>
    </row>
    <row r="208" spans="1:27" hidden="1" x14ac:dyDescent="0.3">
      <c r="A208" s="1" t="s">
        <v>234</v>
      </c>
      <c r="B208" s="2">
        <v>45811</v>
      </c>
      <c r="C208" s="1" t="s">
        <v>25</v>
      </c>
      <c r="D208" s="1">
        <v>1</v>
      </c>
      <c r="E208" s="1">
        <v>-946849.2</v>
      </c>
      <c r="F208" s="1">
        <v>0</v>
      </c>
      <c r="G208" s="1">
        <v>-164329.20000000001</v>
      </c>
      <c r="H208" s="1">
        <v>-782520</v>
      </c>
      <c r="I208" s="1" t="s">
        <v>26</v>
      </c>
      <c r="J208" s="1"/>
      <c r="K208" s="1" t="s">
        <v>232</v>
      </c>
      <c r="L208" s="1"/>
      <c r="M208" s="1" t="s">
        <v>27</v>
      </c>
      <c r="N208" s="1"/>
      <c r="O208" s="1"/>
      <c r="P208" s="1" t="s">
        <v>28</v>
      </c>
      <c r="Q208" s="1" t="s">
        <v>49</v>
      </c>
      <c r="R208" s="1" t="s">
        <v>50</v>
      </c>
      <c r="S208" s="1">
        <v>20</v>
      </c>
      <c r="T208" s="1">
        <v>11940</v>
      </c>
      <c r="U208" s="1">
        <v>21</v>
      </c>
      <c r="V208" s="1">
        <v>14447.4</v>
      </c>
      <c r="W208" s="1">
        <v>0</v>
      </c>
      <c r="X208" s="1">
        <v>0</v>
      </c>
      <c r="Y208" s="1">
        <v>0</v>
      </c>
      <c r="Z208" s="1">
        <v>238800</v>
      </c>
      <c r="AA208" s="1"/>
    </row>
    <row r="209" spans="1:27" hidden="1" x14ac:dyDescent="0.3">
      <c r="A209" s="1" t="s">
        <v>234</v>
      </c>
      <c r="B209" s="2">
        <v>45811</v>
      </c>
      <c r="C209" s="1" t="s">
        <v>25</v>
      </c>
      <c r="D209" s="1">
        <v>1</v>
      </c>
      <c r="E209" s="1">
        <v>-946849.2</v>
      </c>
      <c r="F209" s="1">
        <v>0</v>
      </c>
      <c r="G209" s="1">
        <v>-164329.20000000001</v>
      </c>
      <c r="H209" s="1">
        <v>-782520</v>
      </c>
      <c r="I209" s="1" t="s">
        <v>26</v>
      </c>
      <c r="J209" s="1"/>
      <c r="K209" s="1" t="s">
        <v>232</v>
      </c>
      <c r="L209" s="1"/>
      <c r="M209" s="1" t="s">
        <v>27</v>
      </c>
      <c r="N209" s="1"/>
      <c r="O209" s="1"/>
      <c r="P209" s="1" t="s">
        <v>28</v>
      </c>
      <c r="Q209" s="1" t="s">
        <v>58</v>
      </c>
      <c r="R209" s="1" t="s">
        <v>59</v>
      </c>
      <c r="S209" s="1">
        <v>20</v>
      </c>
      <c r="T209" s="1">
        <v>12336</v>
      </c>
      <c r="U209" s="1">
        <v>21</v>
      </c>
      <c r="V209" s="1">
        <v>14926.56</v>
      </c>
      <c r="W209" s="1">
        <v>0</v>
      </c>
      <c r="X209" s="1">
        <v>0</v>
      </c>
      <c r="Y209" s="1">
        <v>0</v>
      </c>
      <c r="Z209" s="1">
        <v>246720</v>
      </c>
      <c r="AA209" s="1"/>
    </row>
    <row r="210" spans="1:27" hidden="1" x14ac:dyDescent="0.3">
      <c r="A210" s="1" t="s">
        <v>234</v>
      </c>
      <c r="B210" s="2">
        <v>45811</v>
      </c>
      <c r="C210" s="1" t="s">
        <v>25</v>
      </c>
      <c r="D210" s="1">
        <v>1</v>
      </c>
      <c r="E210" s="1">
        <v>-946849.2</v>
      </c>
      <c r="F210" s="1">
        <v>0</v>
      </c>
      <c r="G210" s="1">
        <v>-164329.20000000001</v>
      </c>
      <c r="H210" s="1">
        <v>-782520</v>
      </c>
      <c r="I210" s="1" t="s">
        <v>26</v>
      </c>
      <c r="J210" s="1"/>
      <c r="K210" s="1" t="s">
        <v>232</v>
      </c>
      <c r="L210" s="1"/>
      <c r="M210" s="1" t="s">
        <v>27</v>
      </c>
      <c r="N210" s="1"/>
      <c r="O210" s="1"/>
      <c r="P210" s="1" t="s">
        <v>28</v>
      </c>
      <c r="Q210" s="1" t="s">
        <v>235</v>
      </c>
      <c r="R210" s="1" t="s">
        <v>236</v>
      </c>
      <c r="S210" s="1">
        <v>25</v>
      </c>
      <c r="T210" s="1">
        <v>11880</v>
      </c>
      <c r="U210" s="1">
        <v>21</v>
      </c>
      <c r="V210" s="1">
        <v>14374.8</v>
      </c>
      <c r="W210" s="1">
        <v>0</v>
      </c>
      <c r="X210" s="1">
        <v>0</v>
      </c>
      <c r="Y210" s="1">
        <v>0</v>
      </c>
      <c r="Z210" s="1">
        <v>297000</v>
      </c>
      <c r="AA210" s="1"/>
    </row>
    <row r="211" spans="1:27" hidden="1" x14ac:dyDescent="0.3">
      <c r="A211" s="1" t="s">
        <v>237</v>
      </c>
      <c r="B211" s="2">
        <v>45812</v>
      </c>
      <c r="C211" s="1" t="s">
        <v>25</v>
      </c>
      <c r="D211" s="1">
        <v>1</v>
      </c>
      <c r="E211" s="1">
        <v>-718740</v>
      </c>
      <c r="F211" s="1">
        <v>0</v>
      </c>
      <c r="G211" s="1">
        <v>-124740</v>
      </c>
      <c r="H211" s="1">
        <v>-594000</v>
      </c>
      <c r="I211" s="1" t="s">
        <v>26</v>
      </c>
      <c r="J211" s="1"/>
      <c r="K211" s="1"/>
      <c r="L211" s="1"/>
      <c r="M211" s="1" t="s">
        <v>27</v>
      </c>
      <c r="N211" s="1"/>
      <c r="O211" s="1"/>
      <c r="P211" s="1" t="s">
        <v>28</v>
      </c>
      <c r="Q211" s="1" t="s">
        <v>29</v>
      </c>
      <c r="R211" s="1" t="s">
        <v>30</v>
      </c>
      <c r="S211" s="1">
        <v>75</v>
      </c>
      <c r="T211" s="1">
        <v>7920</v>
      </c>
      <c r="U211" s="1">
        <v>21</v>
      </c>
      <c r="V211" s="1">
        <v>9583.2000000000007</v>
      </c>
      <c r="W211" s="1">
        <v>0</v>
      </c>
      <c r="X211" s="1">
        <v>0</v>
      </c>
      <c r="Y211" s="1">
        <v>0</v>
      </c>
      <c r="Z211" s="1">
        <v>594000</v>
      </c>
      <c r="AA211" s="1"/>
    </row>
    <row r="212" spans="1:27" hidden="1" x14ac:dyDescent="0.3">
      <c r="A212" s="1" t="s">
        <v>238</v>
      </c>
      <c r="B212" s="2">
        <v>45813</v>
      </c>
      <c r="C212" s="1" t="s">
        <v>25</v>
      </c>
      <c r="D212" s="1">
        <v>1</v>
      </c>
      <c r="E212" s="1">
        <v>-718740</v>
      </c>
      <c r="F212" s="1">
        <v>0</v>
      </c>
      <c r="G212" s="1">
        <v>-124740</v>
      </c>
      <c r="H212" s="1">
        <v>-594000</v>
      </c>
      <c r="I212" s="1" t="s">
        <v>26</v>
      </c>
      <c r="J212" s="1"/>
      <c r="K212" s="1" t="s">
        <v>239</v>
      </c>
      <c r="L212" s="1"/>
      <c r="M212" s="1" t="s">
        <v>27</v>
      </c>
      <c r="N212" s="1"/>
      <c r="O212" s="1"/>
      <c r="P212" s="1" t="s">
        <v>28</v>
      </c>
      <c r="Q212" s="1" t="s">
        <v>29</v>
      </c>
      <c r="R212" s="1" t="s">
        <v>30</v>
      </c>
      <c r="S212" s="1">
        <v>75</v>
      </c>
      <c r="T212" s="1">
        <v>7920</v>
      </c>
      <c r="U212" s="1">
        <v>21</v>
      </c>
      <c r="V212" s="1">
        <v>9583.2000000000007</v>
      </c>
      <c r="W212" s="1">
        <v>0</v>
      </c>
      <c r="X212" s="1">
        <v>0</v>
      </c>
      <c r="Y212" s="1">
        <v>0</v>
      </c>
      <c r="Z212" s="1">
        <v>594000</v>
      </c>
      <c r="AA212" s="1"/>
    </row>
    <row r="213" spans="1:27" hidden="1" x14ac:dyDescent="0.3">
      <c r="A213" s="1" t="s">
        <v>240</v>
      </c>
      <c r="B213" s="2">
        <v>45814</v>
      </c>
      <c r="C213" s="1" t="s">
        <v>25</v>
      </c>
      <c r="D213" s="1">
        <v>1</v>
      </c>
      <c r="E213" s="1">
        <v>-1017271.2</v>
      </c>
      <c r="F213" s="1">
        <v>0</v>
      </c>
      <c r="G213" s="1">
        <v>-176551.2</v>
      </c>
      <c r="H213" s="1">
        <v>-840720</v>
      </c>
      <c r="I213" s="1" t="s">
        <v>26</v>
      </c>
      <c r="J213" s="1"/>
      <c r="K213" s="1" t="s">
        <v>241</v>
      </c>
      <c r="L213" s="1"/>
      <c r="M213" s="1" t="s">
        <v>27</v>
      </c>
      <c r="N213" s="1"/>
      <c r="O213" s="1"/>
      <c r="P213" s="1" t="s">
        <v>28</v>
      </c>
      <c r="Q213" s="1" t="s">
        <v>29</v>
      </c>
      <c r="R213" s="1" t="s">
        <v>30</v>
      </c>
      <c r="S213" s="1">
        <v>75</v>
      </c>
      <c r="T213" s="1">
        <v>7920</v>
      </c>
      <c r="U213" s="1">
        <v>21</v>
      </c>
      <c r="V213" s="1">
        <v>9583.2000000000007</v>
      </c>
      <c r="W213" s="1">
        <v>0</v>
      </c>
      <c r="X213" s="1">
        <v>0</v>
      </c>
      <c r="Y213" s="1">
        <v>0</v>
      </c>
      <c r="Z213" s="1">
        <v>594000</v>
      </c>
      <c r="AA213" s="1"/>
    </row>
    <row r="214" spans="1:27" hidden="1" x14ac:dyDescent="0.3">
      <c r="A214" s="1" t="s">
        <v>240</v>
      </c>
      <c r="B214" s="2">
        <v>45814</v>
      </c>
      <c r="C214" s="1" t="s">
        <v>25</v>
      </c>
      <c r="D214" s="1">
        <v>1</v>
      </c>
      <c r="E214" s="1">
        <v>-1017271.2</v>
      </c>
      <c r="F214" s="1">
        <v>0</v>
      </c>
      <c r="G214" s="1">
        <v>-176551.2</v>
      </c>
      <c r="H214" s="1">
        <v>-840720</v>
      </c>
      <c r="I214" s="1" t="s">
        <v>26</v>
      </c>
      <c r="J214" s="1"/>
      <c r="K214" s="1" t="s">
        <v>241</v>
      </c>
      <c r="L214" s="1"/>
      <c r="M214" s="1" t="s">
        <v>27</v>
      </c>
      <c r="N214" s="1"/>
      <c r="O214" s="1"/>
      <c r="P214" s="1" t="s">
        <v>28</v>
      </c>
      <c r="Q214" s="1" t="s">
        <v>58</v>
      </c>
      <c r="R214" s="1" t="s">
        <v>59</v>
      </c>
      <c r="S214" s="1">
        <v>20</v>
      </c>
      <c r="T214" s="1">
        <v>12336</v>
      </c>
      <c r="U214" s="1">
        <v>21</v>
      </c>
      <c r="V214" s="1">
        <v>14926.56</v>
      </c>
      <c r="W214" s="1">
        <v>0</v>
      </c>
      <c r="X214" s="1">
        <v>0</v>
      </c>
      <c r="Y214" s="1">
        <v>0</v>
      </c>
      <c r="Z214" s="1">
        <v>246720</v>
      </c>
      <c r="AA214" s="1"/>
    </row>
    <row r="215" spans="1:27" x14ac:dyDescent="0.3">
      <c r="A215" s="1" t="s">
        <v>242</v>
      </c>
      <c r="B215" s="2">
        <v>45814</v>
      </c>
      <c r="C215" s="1" t="s">
        <v>25</v>
      </c>
      <c r="D215" s="1">
        <v>1</v>
      </c>
      <c r="E215" s="1">
        <v>6927667.8300000001</v>
      </c>
      <c r="F215" s="1">
        <v>0</v>
      </c>
      <c r="G215" s="1">
        <v>0</v>
      </c>
      <c r="H215" s="1">
        <v>6927667.8300000001</v>
      </c>
      <c r="I215" s="1" t="s">
        <v>26</v>
      </c>
      <c r="J215" s="1" t="s">
        <v>36</v>
      </c>
      <c r="K215" s="1"/>
      <c r="L215" s="1" t="s">
        <v>243</v>
      </c>
      <c r="M215" s="1" t="s">
        <v>27</v>
      </c>
      <c r="N215" s="1" t="s">
        <v>38</v>
      </c>
      <c r="O215" s="1"/>
      <c r="P215" s="1" t="s">
        <v>28</v>
      </c>
      <c r="Q215" s="1" t="s">
        <v>39</v>
      </c>
      <c r="R215" s="1" t="s">
        <v>244</v>
      </c>
      <c r="T215" s="1">
        <v>6927667.8300000001</v>
      </c>
      <c r="AA215" s="1" t="s">
        <v>243</v>
      </c>
    </row>
    <row r="216" spans="1:27" hidden="1" x14ac:dyDescent="0.3">
      <c r="A216" s="1" t="s">
        <v>245</v>
      </c>
      <c r="B216" s="2">
        <v>45818</v>
      </c>
      <c r="C216" s="1" t="s">
        <v>25</v>
      </c>
      <c r="D216" s="1">
        <v>1</v>
      </c>
      <c r="E216" s="1">
        <v>-1690128</v>
      </c>
      <c r="F216" s="1">
        <v>0</v>
      </c>
      <c r="G216" s="1">
        <v>-293328</v>
      </c>
      <c r="H216" s="1">
        <v>-1396800</v>
      </c>
      <c r="I216" s="1" t="s">
        <v>26</v>
      </c>
      <c r="J216" s="1"/>
      <c r="K216" s="1" t="s">
        <v>239</v>
      </c>
      <c r="L216" s="1"/>
      <c r="M216" s="1" t="s">
        <v>27</v>
      </c>
      <c r="N216" s="1"/>
      <c r="O216" s="1"/>
      <c r="P216" s="1" t="s">
        <v>28</v>
      </c>
      <c r="Q216" s="1" t="s">
        <v>46</v>
      </c>
      <c r="R216" s="1" t="s">
        <v>47</v>
      </c>
      <c r="S216" s="1">
        <v>50</v>
      </c>
      <c r="T216" s="1">
        <v>7404</v>
      </c>
      <c r="U216" s="1">
        <v>21</v>
      </c>
      <c r="V216" s="1">
        <v>8958.84</v>
      </c>
      <c r="W216" s="1">
        <v>0</v>
      </c>
      <c r="X216" s="1">
        <v>0</v>
      </c>
      <c r="Y216" s="1">
        <v>0</v>
      </c>
      <c r="Z216" s="1">
        <v>370200</v>
      </c>
      <c r="AA216" s="1"/>
    </row>
    <row r="217" spans="1:27" hidden="1" x14ac:dyDescent="0.3">
      <c r="A217" s="1" t="s">
        <v>245</v>
      </c>
      <c r="B217" s="2">
        <v>45818</v>
      </c>
      <c r="C217" s="1" t="s">
        <v>25</v>
      </c>
      <c r="D217" s="1">
        <v>1</v>
      </c>
      <c r="E217" s="1">
        <v>-1690128</v>
      </c>
      <c r="F217" s="1">
        <v>0</v>
      </c>
      <c r="G217" s="1">
        <v>-293328</v>
      </c>
      <c r="H217" s="1">
        <v>-1396800</v>
      </c>
      <c r="I217" s="1" t="s">
        <v>26</v>
      </c>
      <c r="J217" s="1"/>
      <c r="K217" s="1" t="s">
        <v>239</v>
      </c>
      <c r="L217" s="1"/>
      <c r="M217" s="1" t="s">
        <v>27</v>
      </c>
      <c r="N217" s="1"/>
      <c r="O217" s="1"/>
      <c r="P217" s="1" t="s">
        <v>28</v>
      </c>
      <c r="Q217" s="1" t="s">
        <v>29</v>
      </c>
      <c r="R217" s="1" t="s">
        <v>30</v>
      </c>
      <c r="S217" s="1">
        <v>100</v>
      </c>
      <c r="T217" s="1">
        <v>7920</v>
      </c>
      <c r="U217" s="1">
        <v>21</v>
      </c>
      <c r="V217" s="1">
        <v>9583.2000000000007</v>
      </c>
      <c r="W217" s="1">
        <v>0</v>
      </c>
      <c r="X217" s="1">
        <v>0</v>
      </c>
      <c r="Y217" s="1">
        <v>0</v>
      </c>
      <c r="Z217" s="1">
        <v>792000</v>
      </c>
      <c r="AA217" s="1"/>
    </row>
    <row r="218" spans="1:27" hidden="1" x14ac:dyDescent="0.3">
      <c r="A218" s="1" t="s">
        <v>245</v>
      </c>
      <c r="B218" s="2">
        <v>45818</v>
      </c>
      <c r="C218" s="1" t="s">
        <v>25</v>
      </c>
      <c r="D218" s="1">
        <v>1</v>
      </c>
      <c r="E218" s="1">
        <v>-1690128</v>
      </c>
      <c r="F218" s="1">
        <v>0</v>
      </c>
      <c r="G218" s="1">
        <v>-293328</v>
      </c>
      <c r="H218" s="1">
        <v>-1396800</v>
      </c>
      <c r="I218" s="1" t="s">
        <v>26</v>
      </c>
      <c r="J218" s="1"/>
      <c r="K218" s="1" t="s">
        <v>239</v>
      </c>
      <c r="L218" s="1"/>
      <c r="M218" s="1" t="s">
        <v>27</v>
      </c>
      <c r="N218" s="1"/>
      <c r="O218" s="1"/>
      <c r="P218" s="1" t="s">
        <v>28</v>
      </c>
      <c r="Q218" s="1" t="s">
        <v>191</v>
      </c>
      <c r="R218" s="1" t="s">
        <v>192</v>
      </c>
      <c r="S218" s="1">
        <v>25</v>
      </c>
      <c r="T218" s="1">
        <v>9384</v>
      </c>
      <c r="U218" s="1">
        <v>21</v>
      </c>
      <c r="V218" s="1">
        <v>11354.64</v>
      </c>
      <c r="W218" s="1">
        <v>0</v>
      </c>
      <c r="X218" s="1">
        <v>0</v>
      </c>
      <c r="Y218" s="1">
        <v>0</v>
      </c>
      <c r="Z218" s="1">
        <v>234600</v>
      </c>
      <c r="AA218" s="1"/>
    </row>
    <row r="219" spans="1:27" hidden="1" x14ac:dyDescent="0.3">
      <c r="A219" s="1" t="s">
        <v>246</v>
      </c>
      <c r="B219" s="2">
        <v>45820</v>
      </c>
      <c r="C219" s="1" t="s">
        <v>25</v>
      </c>
      <c r="D219" s="1">
        <v>1</v>
      </c>
      <c r="E219" s="1">
        <v>-14586000</v>
      </c>
      <c r="F219" s="1">
        <v>0</v>
      </c>
      <c r="G219" s="1">
        <v>-1386000</v>
      </c>
      <c r="H219" s="1">
        <v>-13200000</v>
      </c>
      <c r="I219" s="1" t="s">
        <v>26</v>
      </c>
      <c r="J219" s="1"/>
      <c r="K219" s="1" t="s">
        <v>239</v>
      </c>
      <c r="L219" s="1"/>
      <c r="M219" s="1" t="s">
        <v>27</v>
      </c>
      <c r="N219" s="1"/>
      <c r="O219" s="1"/>
      <c r="P219" s="1" t="s">
        <v>28</v>
      </c>
      <c r="Q219" s="1" t="s">
        <v>247</v>
      </c>
      <c r="R219" s="1" t="s">
        <v>248</v>
      </c>
      <c r="S219" s="1">
        <v>2</v>
      </c>
      <c r="T219" s="1">
        <v>6600000</v>
      </c>
      <c r="U219" s="1">
        <v>10.5</v>
      </c>
      <c r="V219" s="1">
        <v>7293000</v>
      </c>
      <c r="W219" s="1">
        <v>0</v>
      </c>
      <c r="X219" s="1">
        <v>0</v>
      </c>
      <c r="Y219" s="1">
        <v>0</v>
      </c>
      <c r="Z219" s="1">
        <v>13200000</v>
      </c>
      <c r="AA219" s="1"/>
    </row>
    <row r="220" spans="1:27" hidden="1" x14ac:dyDescent="0.3">
      <c r="A220" s="1" t="s">
        <v>249</v>
      </c>
      <c r="B220" s="2">
        <v>45820</v>
      </c>
      <c r="C220" s="1" t="s">
        <v>25</v>
      </c>
      <c r="D220" s="1">
        <v>1</v>
      </c>
      <c r="E220" s="1">
        <v>-479160</v>
      </c>
      <c r="F220" s="1">
        <v>0</v>
      </c>
      <c r="G220" s="1">
        <v>-83160</v>
      </c>
      <c r="H220" s="1">
        <v>-396000</v>
      </c>
      <c r="I220" s="1" t="s">
        <v>26</v>
      </c>
      <c r="J220" s="1"/>
      <c r="K220" s="1" t="s">
        <v>239</v>
      </c>
      <c r="L220" s="1"/>
      <c r="M220" s="1" t="s">
        <v>27</v>
      </c>
      <c r="N220" s="1"/>
      <c r="O220" s="1"/>
      <c r="P220" s="1" t="s">
        <v>28</v>
      </c>
      <c r="Q220" s="1" t="s">
        <v>29</v>
      </c>
      <c r="R220" s="1" t="s">
        <v>30</v>
      </c>
      <c r="S220" s="1">
        <v>50</v>
      </c>
      <c r="T220" s="1">
        <v>7920</v>
      </c>
      <c r="U220" s="1">
        <v>21</v>
      </c>
      <c r="V220" s="1">
        <v>9583.2000000000007</v>
      </c>
      <c r="W220" s="1">
        <v>0</v>
      </c>
      <c r="X220" s="1">
        <v>0</v>
      </c>
      <c r="Y220" s="1">
        <v>0</v>
      </c>
      <c r="Z220" s="1">
        <v>396000</v>
      </c>
      <c r="AA220" s="1"/>
    </row>
    <row r="221" spans="1:27" hidden="1" x14ac:dyDescent="0.3">
      <c r="A221" s="1" t="s">
        <v>250</v>
      </c>
      <c r="B221" s="2">
        <v>45820</v>
      </c>
      <c r="C221" s="1" t="s">
        <v>25</v>
      </c>
      <c r="D221" s="1">
        <v>1</v>
      </c>
      <c r="E221" s="1">
        <v>-1187736</v>
      </c>
      <c r="F221" s="1">
        <v>0</v>
      </c>
      <c r="G221" s="1">
        <v>-206136</v>
      </c>
      <c r="H221" s="1">
        <v>-981600</v>
      </c>
      <c r="I221" s="1" t="s">
        <v>26</v>
      </c>
      <c r="J221" s="1"/>
      <c r="K221" s="1" t="s">
        <v>239</v>
      </c>
      <c r="L221" s="1"/>
      <c r="M221" s="1" t="s">
        <v>27</v>
      </c>
      <c r="N221" s="1"/>
      <c r="O221" s="1"/>
      <c r="P221" s="1" t="s">
        <v>28</v>
      </c>
      <c r="Q221" s="1" t="s">
        <v>29</v>
      </c>
      <c r="R221" s="1" t="s">
        <v>30</v>
      </c>
      <c r="S221" s="1">
        <v>75</v>
      </c>
      <c r="T221" s="1">
        <v>7920</v>
      </c>
      <c r="U221" s="1">
        <v>21</v>
      </c>
      <c r="V221" s="1">
        <v>9583.2000000000007</v>
      </c>
      <c r="W221" s="1">
        <v>0</v>
      </c>
      <c r="X221" s="1">
        <v>0</v>
      </c>
      <c r="Y221" s="1">
        <v>0</v>
      </c>
      <c r="Z221" s="1">
        <v>594000</v>
      </c>
      <c r="AA221" s="1"/>
    </row>
    <row r="222" spans="1:27" hidden="1" x14ac:dyDescent="0.3">
      <c r="A222" s="1" t="s">
        <v>250</v>
      </c>
      <c r="B222" s="2">
        <v>45820</v>
      </c>
      <c r="C222" s="1" t="s">
        <v>25</v>
      </c>
      <c r="D222" s="1">
        <v>1</v>
      </c>
      <c r="E222" s="1">
        <v>-1187736</v>
      </c>
      <c r="F222" s="1">
        <v>0</v>
      </c>
      <c r="G222" s="1">
        <v>-206136</v>
      </c>
      <c r="H222" s="1">
        <v>-981600</v>
      </c>
      <c r="I222" s="1" t="s">
        <v>26</v>
      </c>
      <c r="J222" s="1"/>
      <c r="K222" s="1" t="s">
        <v>239</v>
      </c>
      <c r="L222" s="1"/>
      <c r="M222" s="1" t="s">
        <v>27</v>
      </c>
      <c r="N222" s="1"/>
      <c r="O222" s="1"/>
      <c r="P222" s="1" t="s">
        <v>28</v>
      </c>
      <c r="Q222" s="1" t="s">
        <v>61</v>
      </c>
      <c r="R222" s="1" t="s">
        <v>62</v>
      </c>
      <c r="S222" s="1">
        <v>50</v>
      </c>
      <c r="T222" s="1">
        <v>7752</v>
      </c>
      <c r="U222" s="1">
        <v>21</v>
      </c>
      <c r="V222" s="1">
        <v>9379.92</v>
      </c>
      <c r="W222" s="1">
        <v>0</v>
      </c>
      <c r="X222" s="1">
        <v>0</v>
      </c>
      <c r="Y222" s="1">
        <v>0</v>
      </c>
      <c r="Z222" s="1">
        <v>387600</v>
      </c>
      <c r="AA222" s="1"/>
    </row>
    <row r="223" spans="1:27" hidden="1" x14ac:dyDescent="0.3">
      <c r="A223" s="1" t="s">
        <v>251</v>
      </c>
      <c r="B223" s="2">
        <v>45821</v>
      </c>
      <c r="C223" s="1" t="s">
        <v>25</v>
      </c>
      <c r="D223" s="1">
        <v>1</v>
      </c>
      <c r="E223" s="1">
        <v>-1404374.4</v>
      </c>
      <c r="F223" s="1">
        <v>0</v>
      </c>
      <c r="G223" s="1">
        <v>-243734.39999999999</v>
      </c>
      <c r="H223" s="1">
        <v>-1160640</v>
      </c>
      <c r="I223" s="1" t="s">
        <v>26</v>
      </c>
      <c r="J223" s="1"/>
      <c r="K223" s="1" t="s">
        <v>239</v>
      </c>
      <c r="L223" s="1"/>
      <c r="M223" s="1" t="s">
        <v>27</v>
      </c>
      <c r="N223" s="1"/>
      <c r="O223" s="1"/>
      <c r="P223" s="1" t="s">
        <v>28</v>
      </c>
      <c r="Q223" s="1" t="s">
        <v>58</v>
      </c>
      <c r="R223" s="1" t="s">
        <v>59</v>
      </c>
      <c r="S223" s="1">
        <v>40</v>
      </c>
      <c r="T223" s="1">
        <v>12336</v>
      </c>
      <c r="U223" s="1">
        <v>21</v>
      </c>
      <c r="V223" s="1">
        <v>14926.56</v>
      </c>
      <c r="W223" s="1">
        <v>0</v>
      </c>
      <c r="X223" s="1">
        <v>0</v>
      </c>
      <c r="Y223" s="1">
        <v>0</v>
      </c>
      <c r="Z223" s="1">
        <v>493440</v>
      </c>
      <c r="AA223" s="1"/>
    </row>
    <row r="224" spans="1:27" hidden="1" x14ac:dyDescent="0.3">
      <c r="A224" s="1" t="s">
        <v>251</v>
      </c>
      <c r="B224" s="2">
        <v>45821</v>
      </c>
      <c r="C224" s="1" t="s">
        <v>25</v>
      </c>
      <c r="D224" s="1">
        <v>1</v>
      </c>
      <c r="E224" s="1">
        <v>-1404374.4</v>
      </c>
      <c r="F224" s="1">
        <v>0</v>
      </c>
      <c r="G224" s="1">
        <v>-243734.39999999999</v>
      </c>
      <c r="H224" s="1">
        <v>-1160640</v>
      </c>
      <c r="I224" s="1" t="s">
        <v>26</v>
      </c>
      <c r="J224" s="1"/>
      <c r="K224" s="1" t="s">
        <v>239</v>
      </c>
      <c r="L224" s="1"/>
      <c r="M224" s="1" t="s">
        <v>27</v>
      </c>
      <c r="N224" s="1"/>
      <c r="O224" s="1"/>
      <c r="P224" s="1" t="s">
        <v>28</v>
      </c>
      <c r="Q224" s="1" t="s">
        <v>235</v>
      </c>
      <c r="R224" s="1" t="s">
        <v>236</v>
      </c>
      <c r="S224" s="1">
        <v>25</v>
      </c>
      <c r="T224" s="1">
        <v>11880</v>
      </c>
      <c r="U224" s="1">
        <v>21</v>
      </c>
      <c r="V224" s="1">
        <v>14374.8</v>
      </c>
      <c r="W224" s="1">
        <v>0</v>
      </c>
      <c r="X224" s="1">
        <v>0</v>
      </c>
      <c r="Y224" s="1">
        <v>0</v>
      </c>
      <c r="Z224" s="1">
        <v>297000</v>
      </c>
      <c r="AA224" s="1"/>
    </row>
    <row r="225" spans="1:27" hidden="1" x14ac:dyDescent="0.3">
      <c r="A225" s="1" t="s">
        <v>251</v>
      </c>
      <c r="B225" s="2">
        <v>45821</v>
      </c>
      <c r="C225" s="1" t="s">
        <v>25</v>
      </c>
      <c r="D225" s="1">
        <v>1</v>
      </c>
      <c r="E225" s="1">
        <v>-1404374.4</v>
      </c>
      <c r="F225" s="1">
        <v>0</v>
      </c>
      <c r="G225" s="1">
        <v>-243734.39999999999</v>
      </c>
      <c r="H225" s="1">
        <v>-1160640</v>
      </c>
      <c r="I225" s="1" t="s">
        <v>26</v>
      </c>
      <c r="J225" s="1"/>
      <c r="K225" s="1" t="s">
        <v>239</v>
      </c>
      <c r="L225" s="1"/>
      <c r="M225" s="1" t="s">
        <v>27</v>
      </c>
      <c r="N225" s="1"/>
      <c r="O225" s="1"/>
      <c r="P225" s="1" t="s">
        <v>28</v>
      </c>
      <c r="Q225" s="1" t="s">
        <v>171</v>
      </c>
      <c r="R225" s="1" t="s">
        <v>172</v>
      </c>
      <c r="S225" s="1">
        <v>50</v>
      </c>
      <c r="T225" s="1">
        <v>7404</v>
      </c>
      <c r="U225" s="1">
        <v>21</v>
      </c>
      <c r="V225" s="1">
        <v>8958.84</v>
      </c>
      <c r="W225" s="1">
        <v>0</v>
      </c>
      <c r="X225" s="1">
        <v>0</v>
      </c>
      <c r="Y225" s="1">
        <v>0</v>
      </c>
      <c r="Z225" s="1">
        <v>370200</v>
      </c>
      <c r="AA225" s="1"/>
    </row>
    <row r="226" spans="1:27" hidden="1" x14ac:dyDescent="0.3">
      <c r="A226" s="1" t="s">
        <v>252</v>
      </c>
      <c r="B226" s="2">
        <v>45825</v>
      </c>
      <c r="C226" s="1" t="s">
        <v>25</v>
      </c>
      <c r="D226" s="1">
        <v>1</v>
      </c>
      <c r="E226" s="1">
        <v>-1216050</v>
      </c>
      <c r="F226" s="1">
        <v>-1083036.8</v>
      </c>
      <c r="G226" s="1">
        <v>-211050</v>
      </c>
      <c r="H226" s="1">
        <v>-1005000</v>
      </c>
      <c r="I226" s="1" t="s">
        <v>26</v>
      </c>
      <c r="J226" s="1"/>
      <c r="K226" s="1" t="s">
        <v>239</v>
      </c>
      <c r="L226" s="1"/>
      <c r="M226" s="1" t="s">
        <v>27</v>
      </c>
      <c r="N226" s="1"/>
      <c r="O226" s="1"/>
      <c r="P226" s="1" t="s">
        <v>28</v>
      </c>
      <c r="Q226" s="1" t="s">
        <v>46</v>
      </c>
      <c r="R226" s="1" t="s">
        <v>47</v>
      </c>
      <c r="S226" s="1">
        <v>50</v>
      </c>
      <c r="T226" s="1">
        <v>7404</v>
      </c>
      <c r="U226" s="1">
        <v>21</v>
      </c>
      <c r="V226" s="1">
        <v>8958.84</v>
      </c>
      <c r="W226" s="1">
        <v>0</v>
      </c>
      <c r="X226" s="1">
        <v>0</v>
      </c>
      <c r="Y226" s="1">
        <v>0</v>
      </c>
      <c r="Z226" s="1">
        <v>370200</v>
      </c>
      <c r="AA226" s="1"/>
    </row>
    <row r="227" spans="1:27" hidden="1" x14ac:dyDescent="0.3">
      <c r="A227" s="1" t="s">
        <v>252</v>
      </c>
      <c r="B227" s="2">
        <v>45825</v>
      </c>
      <c r="C227" s="1" t="s">
        <v>25</v>
      </c>
      <c r="D227" s="1">
        <v>1</v>
      </c>
      <c r="E227" s="1">
        <v>-1216050</v>
      </c>
      <c r="F227" s="1">
        <v>-1083036.8</v>
      </c>
      <c r="G227" s="1">
        <v>-211050</v>
      </c>
      <c r="H227" s="1">
        <v>-1005000</v>
      </c>
      <c r="I227" s="1" t="s">
        <v>26</v>
      </c>
      <c r="J227" s="1"/>
      <c r="K227" s="1" t="s">
        <v>239</v>
      </c>
      <c r="L227" s="1"/>
      <c r="M227" s="1" t="s">
        <v>27</v>
      </c>
      <c r="N227" s="1"/>
      <c r="O227" s="1"/>
      <c r="P227" s="1" t="s">
        <v>28</v>
      </c>
      <c r="Q227" s="1" t="s">
        <v>29</v>
      </c>
      <c r="R227" s="1" t="s">
        <v>30</v>
      </c>
      <c r="S227" s="1">
        <v>50</v>
      </c>
      <c r="T227" s="1">
        <v>7920</v>
      </c>
      <c r="U227" s="1">
        <v>21</v>
      </c>
      <c r="V227" s="1">
        <v>9583.2000000000007</v>
      </c>
      <c r="W227" s="1">
        <v>0</v>
      </c>
      <c r="X227" s="1">
        <v>0</v>
      </c>
      <c r="Y227" s="1">
        <v>0</v>
      </c>
      <c r="Z227" s="1">
        <v>396000</v>
      </c>
      <c r="AA227" s="1"/>
    </row>
    <row r="228" spans="1:27" hidden="1" x14ac:dyDescent="0.3">
      <c r="A228" s="1" t="s">
        <v>252</v>
      </c>
      <c r="B228" s="2">
        <v>45825</v>
      </c>
      <c r="C228" s="1" t="s">
        <v>25</v>
      </c>
      <c r="D228" s="1">
        <v>1</v>
      </c>
      <c r="E228" s="1">
        <v>-1216050</v>
      </c>
      <c r="F228" s="1">
        <v>-1083036.8</v>
      </c>
      <c r="G228" s="1">
        <v>-211050</v>
      </c>
      <c r="H228" s="1">
        <v>-1005000</v>
      </c>
      <c r="I228" s="1" t="s">
        <v>26</v>
      </c>
      <c r="J228" s="1"/>
      <c r="K228" s="1" t="s">
        <v>239</v>
      </c>
      <c r="L228" s="1"/>
      <c r="M228" s="1" t="s">
        <v>27</v>
      </c>
      <c r="N228" s="1"/>
      <c r="O228" s="1"/>
      <c r="P228" s="1" t="s">
        <v>28</v>
      </c>
      <c r="Q228" s="1" t="s">
        <v>49</v>
      </c>
      <c r="R228" s="1" t="s">
        <v>50</v>
      </c>
      <c r="S228" s="1">
        <v>20</v>
      </c>
      <c r="T228" s="1">
        <v>11940</v>
      </c>
      <c r="U228" s="1">
        <v>21</v>
      </c>
      <c r="V228" s="1">
        <v>14447.4</v>
      </c>
      <c r="W228" s="1">
        <v>0</v>
      </c>
      <c r="X228" s="1">
        <v>0</v>
      </c>
      <c r="Y228" s="1">
        <v>0</v>
      </c>
      <c r="Z228" s="1">
        <v>238800</v>
      </c>
      <c r="AA228" s="1"/>
    </row>
    <row r="229" spans="1:27" hidden="1" x14ac:dyDescent="0.3">
      <c r="A229" s="1" t="s">
        <v>253</v>
      </c>
      <c r="B229" s="2">
        <v>45826</v>
      </c>
      <c r="C229" s="1" t="s">
        <v>25</v>
      </c>
      <c r="D229" s="1">
        <v>1</v>
      </c>
      <c r="E229" s="1">
        <v>-1182926.25</v>
      </c>
      <c r="F229" s="1">
        <v>-1182926.25</v>
      </c>
      <c r="G229" s="1">
        <v>-205301.25</v>
      </c>
      <c r="H229" s="1">
        <v>-977625</v>
      </c>
      <c r="I229" s="1" t="s">
        <v>26</v>
      </c>
      <c r="J229" s="1"/>
      <c r="K229" s="1" t="s">
        <v>254</v>
      </c>
      <c r="L229" s="1"/>
      <c r="M229" s="1" t="s">
        <v>27</v>
      </c>
      <c r="N229" s="1"/>
      <c r="O229" s="1"/>
      <c r="P229" s="1" t="s">
        <v>28</v>
      </c>
      <c r="Q229" s="1" t="s">
        <v>29</v>
      </c>
      <c r="R229" s="1" t="s">
        <v>30</v>
      </c>
      <c r="S229" s="1">
        <v>125</v>
      </c>
      <c r="T229" s="1">
        <v>7821</v>
      </c>
      <c r="U229" s="1">
        <v>21</v>
      </c>
      <c r="V229" s="1">
        <v>9463.41</v>
      </c>
      <c r="W229" s="1">
        <v>0</v>
      </c>
      <c r="X229" s="1">
        <v>0</v>
      </c>
      <c r="Y229" s="1">
        <v>0</v>
      </c>
      <c r="Z229" s="1">
        <v>977625</v>
      </c>
      <c r="AA229" s="1"/>
    </row>
    <row r="230" spans="1:27" x14ac:dyDescent="0.3">
      <c r="A230" s="1" t="s">
        <v>255</v>
      </c>
      <c r="B230" s="2">
        <v>45826</v>
      </c>
      <c r="C230" s="1" t="s">
        <v>25</v>
      </c>
      <c r="D230" s="1">
        <v>1</v>
      </c>
      <c r="E230" s="1">
        <v>6755431.3399999999</v>
      </c>
      <c r="F230" s="1">
        <v>0</v>
      </c>
      <c r="G230" s="1">
        <v>0</v>
      </c>
      <c r="H230" s="1">
        <v>6755431.3399999999</v>
      </c>
      <c r="I230" s="1" t="s">
        <v>26</v>
      </c>
      <c r="J230" s="1" t="s">
        <v>36</v>
      </c>
      <c r="K230" s="1"/>
      <c r="L230" s="1" t="s">
        <v>256</v>
      </c>
      <c r="M230" s="1" t="s">
        <v>27</v>
      </c>
      <c r="N230" s="1" t="s">
        <v>38</v>
      </c>
      <c r="O230" s="1"/>
      <c r="P230" s="1" t="s">
        <v>28</v>
      </c>
      <c r="Q230" s="1" t="s">
        <v>39</v>
      </c>
      <c r="R230" s="1" t="s">
        <v>257</v>
      </c>
      <c r="T230" s="1">
        <v>6755431.3399999999</v>
      </c>
      <c r="AA230" s="1" t="s">
        <v>256</v>
      </c>
    </row>
    <row r="231" spans="1:27" hidden="1" x14ac:dyDescent="0.3">
      <c r="A231" s="1" t="s">
        <v>258</v>
      </c>
      <c r="B231" s="2">
        <v>45827</v>
      </c>
      <c r="C231" s="1" t="s">
        <v>25</v>
      </c>
      <c r="D231" s="1">
        <v>1</v>
      </c>
      <c r="E231" s="1">
        <v>-3799194.3</v>
      </c>
      <c r="F231" s="1">
        <v>-3799194.3</v>
      </c>
      <c r="G231" s="1">
        <v>-659364.30000000005</v>
      </c>
      <c r="H231" s="1">
        <v>-3139830</v>
      </c>
      <c r="I231" s="1" t="s">
        <v>26</v>
      </c>
      <c r="J231" s="1"/>
      <c r="K231" s="1"/>
      <c r="L231" s="1"/>
      <c r="M231" s="1" t="s">
        <v>27</v>
      </c>
      <c r="N231" s="1"/>
      <c r="O231" s="1"/>
      <c r="P231" s="1" t="s">
        <v>28</v>
      </c>
      <c r="Q231" s="1" t="s">
        <v>29</v>
      </c>
      <c r="R231" s="1" t="s">
        <v>30</v>
      </c>
      <c r="S231" s="1">
        <v>250</v>
      </c>
      <c r="T231" s="1">
        <v>7656</v>
      </c>
      <c r="U231" s="1">
        <v>21</v>
      </c>
      <c r="V231" s="1">
        <v>9263.76</v>
      </c>
      <c r="W231" s="1">
        <v>0</v>
      </c>
      <c r="X231" s="1">
        <v>0</v>
      </c>
      <c r="Y231" s="1">
        <v>0</v>
      </c>
      <c r="Z231" s="1">
        <v>1914000</v>
      </c>
      <c r="AA231" s="1"/>
    </row>
    <row r="232" spans="1:27" hidden="1" x14ac:dyDescent="0.3">
      <c r="A232" s="1" t="s">
        <v>258</v>
      </c>
      <c r="B232" s="2">
        <v>45827</v>
      </c>
      <c r="C232" s="1" t="s">
        <v>25</v>
      </c>
      <c r="D232" s="1">
        <v>1</v>
      </c>
      <c r="E232" s="1">
        <v>-3799194.3</v>
      </c>
      <c r="F232" s="1">
        <v>-3799194.3</v>
      </c>
      <c r="G232" s="1">
        <v>-659364.30000000005</v>
      </c>
      <c r="H232" s="1">
        <v>-3139830</v>
      </c>
      <c r="I232" s="1" t="s">
        <v>26</v>
      </c>
      <c r="J232" s="1"/>
      <c r="K232" s="1"/>
      <c r="L232" s="1"/>
      <c r="M232" s="1" t="s">
        <v>27</v>
      </c>
      <c r="N232" s="1"/>
      <c r="O232" s="1"/>
      <c r="P232" s="1" t="s">
        <v>28</v>
      </c>
      <c r="Q232" s="1" t="s">
        <v>129</v>
      </c>
      <c r="R232" s="1" t="s">
        <v>130</v>
      </c>
      <c r="S232" s="1">
        <v>25</v>
      </c>
      <c r="T232" s="1">
        <v>10416.799999999999</v>
      </c>
      <c r="U232" s="1">
        <v>21</v>
      </c>
      <c r="V232" s="1">
        <v>12604.328</v>
      </c>
      <c r="W232" s="1">
        <v>0</v>
      </c>
      <c r="X232" s="1">
        <v>0</v>
      </c>
      <c r="Y232" s="1">
        <v>0</v>
      </c>
      <c r="Z232" s="1">
        <v>260420</v>
      </c>
      <c r="AA232" s="1"/>
    </row>
    <row r="233" spans="1:27" hidden="1" x14ac:dyDescent="0.3">
      <c r="A233" s="1" t="s">
        <v>258</v>
      </c>
      <c r="B233" s="2">
        <v>45827</v>
      </c>
      <c r="C233" s="1" t="s">
        <v>25</v>
      </c>
      <c r="D233" s="1">
        <v>1</v>
      </c>
      <c r="E233" s="1">
        <v>-3799194.3</v>
      </c>
      <c r="F233" s="1">
        <v>-3799194.3</v>
      </c>
      <c r="G233" s="1">
        <v>-659364.30000000005</v>
      </c>
      <c r="H233" s="1">
        <v>-3139830</v>
      </c>
      <c r="I233" s="1" t="s">
        <v>26</v>
      </c>
      <c r="J233" s="1"/>
      <c r="K233" s="1"/>
      <c r="L233" s="1"/>
      <c r="M233" s="1" t="s">
        <v>27</v>
      </c>
      <c r="N233" s="1"/>
      <c r="O233" s="1"/>
      <c r="P233" s="1" t="s">
        <v>28</v>
      </c>
      <c r="Q233" s="1" t="s">
        <v>77</v>
      </c>
      <c r="R233" s="1" t="s">
        <v>78</v>
      </c>
      <c r="S233" s="1">
        <v>25</v>
      </c>
      <c r="T233" s="1">
        <v>11762.4</v>
      </c>
      <c r="U233" s="1">
        <v>21</v>
      </c>
      <c r="V233" s="1">
        <v>14232.504000000001</v>
      </c>
      <c r="W233" s="1">
        <v>0</v>
      </c>
      <c r="X233" s="1">
        <v>0</v>
      </c>
      <c r="Y233" s="1">
        <v>0</v>
      </c>
      <c r="Z233" s="1">
        <v>294060</v>
      </c>
      <c r="AA233" s="1"/>
    </row>
    <row r="234" spans="1:27" hidden="1" x14ac:dyDescent="0.3">
      <c r="A234" s="1" t="s">
        <v>258</v>
      </c>
      <c r="B234" s="2">
        <v>45827</v>
      </c>
      <c r="C234" s="1" t="s">
        <v>25</v>
      </c>
      <c r="D234" s="1">
        <v>1</v>
      </c>
      <c r="E234" s="1">
        <v>-3799194.3</v>
      </c>
      <c r="F234" s="1">
        <v>-3799194.3</v>
      </c>
      <c r="G234" s="1">
        <v>-659364.30000000005</v>
      </c>
      <c r="H234" s="1">
        <v>-3139830</v>
      </c>
      <c r="I234" s="1" t="s">
        <v>26</v>
      </c>
      <c r="J234" s="1"/>
      <c r="K234" s="1"/>
      <c r="L234" s="1"/>
      <c r="M234" s="1" t="s">
        <v>27</v>
      </c>
      <c r="N234" s="1"/>
      <c r="O234" s="1"/>
      <c r="P234" s="1" t="s">
        <v>28</v>
      </c>
      <c r="Q234" s="1" t="s">
        <v>259</v>
      </c>
      <c r="R234" s="1" t="s">
        <v>260</v>
      </c>
      <c r="S234" s="1">
        <v>25</v>
      </c>
      <c r="T234" s="1">
        <v>11774</v>
      </c>
      <c r="U234" s="1">
        <v>21</v>
      </c>
      <c r="V234" s="1">
        <v>14246.54</v>
      </c>
      <c r="W234" s="1">
        <v>0</v>
      </c>
      <c r="X234" s="1">
        <v>0</v>
      </c>
      <c r="Y234" s="1">
        <v>0</v>
      </c>
      <c r="Z234" s="1">
        <v>294350</v>
      </c>
      <c r="AA234" s="1"/>
    </row>
    <row r="235" spans="1:27" hidden="1" x14ac:dyDescent="0.3">
      <c r="A235" s="1" t="s">
        <v>258</v>
      </c>
      <c r="B235" s="2">
        <v>45827</v>
      </c>
      <c r="C235" s="1" t="s">
        <v>25</v>
      </c>
      <c r="D235" s="1">
        <v>1</v>
      </c>
      <c r="E235" s="1">
        <v>-3799194.3</v>
      </c>
      <c r="F235" s="1">
        <v>-3799194.3</v>
      </c>
      <c r="G235" s="1">
        <v>-659364.30000000005</v>
      </c>
      <c r="H235" s="1">
        <v>-3139830</v>
      </c>
      <c r="I235" s="1" t="s">
        <v>26</v>
      </c>
      <c r="J235" s="1"/>
      <c r="K235" s="1"/>
      <c r="L235" s="1"/>
      <c r="M235" s="1" t="s">
        <v>27</v>
      </c>
      <c r="N235" s="1"/>
      <c r="O235" s="1"/>
      <c r="P235" s="1" t="s">
        <v>28</v>
      </c>
      <c r="Q235" s="1" t="s">
        <v>171</v>
      </c>
      <c r="R235" s="1" t="s">
        <v>172</v>
      </c>
      <c r="S235" s="1">
        <v>50</v>
      </c>
      <c r="T235" s="1">
        <v>7540</v>
      </c>
      <c r="U235" s="1">
        <v>21</v>
      </c>
      <c r="V235" s="1">
        <v>9123.4</v>
      </c>
      <c r="W235" s="1">
        <v>0</v>
      </c>
      <c r="X235" s="1">
        <v>0</v>
      </c>
      <c r="Y235" s="1">
        <v>0</v>
      </c>
      <c r="Z235" s="1">
        <v>377000</v>
      </c>
      <c r="AA235" s="1"/>
    </row>
    <row r="236" spans="1:27" hidden="1" x14ac:dyDescent="0.3">
      <c r="A236" s="1" t="s">
        <v>261</v>
      </c>
      <c r="B236" s="2">
        <v>45831</v>
      </c>
      <c r="C236" s="1" t="s">
        <v>25</v>
      </c>
      <c r="D236" s="1">
        <v>1</v>
      </c>
      <c r="E236" s="1">
        <v>-587111.36</v>
      </c>
      <c r="F236" s="1">
        <v>-587111.36</v>
      </c>
      <c r="G236" s="1">
        <v>-101895.36</v>
      </c>
      <c r="H236" s="1">
        <v>-485216</v>
      </c>
      <c r="I236" s="1" t="s">
        <v>26</v>
      </c>
      <c r="J236" s="1"/>
      <c r="K236" s="1" t="s">
        <v>262</v>
      </c>
      <c r="L236" s="1"/>
      <c r="M236" s="1" t="s">
        <v>27</v>
      </c>
      <c r="N236" s="1"/>
      <c r="O236" s="1"/>
      <c r="P236" s="1" t="s">
        <v>28</v>
      </c>
      <c r="Q236" s="1" t="s">
        <v>58</v>
      </c>
      <c r="R236" s="1" t="s">
        <v>59</v>
      </c>
      <c r="S236" s="1">
        <v>40</v>
      </c>
      <c r="T236" s="1">
        <v>12130.4</v>
      </c>
      <c r="U236" s="1">
        <v>21</v>
      </c>
      <c r="V236" s="1">
        <v>14677.784</v>
      </c>
      <c r="W236" s="1">
        <v>0</v>
      </c>
      <c r="X236" s="1">
        <v>0</v>
      </c>
      <c r="Y236" s="1">
        <v>0</v>
      </c>
      <c r="Z236" s="1">
        <v>485216</v>
      </c>
      <c r="AA236" s="1"/>
    </row>
    <row r="237" spans="1:27" hidden="1" x14ac:dyDescent="0.3">
      <c r="A237" s="1" t="s">
        <v>263</v>
      </c>
      <c r="B237" s="2">
        <v>45832</v>
      </c>
      <c r="C237" s="1" t="s">
        <v>25</v>
      </c>
      <c r="D237" s="1">
        <v>1</v>
      </c>
      <c r="E237" s="1">
        <v>-466001.25</v>
      </c>
      <c r="F237" s="1">
        <v>-466001.25</v>
      </c>
      <c r="G237" s="1">
        <v>-80876.25</v>
      </c>
      <c r="H237" s="1">
        <v>-385125</v>
      </c>
      <c r="I237" s="1" t="s">
        <v>26</v>
      </c>
      <c r="J237" s="1"/>
      <c r="K237" s="1" t="s">
        <v>254</v>
      </c>
      <c r="L237" s="1"/>
      <c r="M237" s="1" t="s">
        <v>27</v>
      </c>
      <c r="N237" s="1"/>
      <c r="O237" s="1"/>
      <c r="P237" s="1" t="s">
        <v>28</v>
      </c>
      <c r="Q237" s="1" t="s">
        <v>171</v>
      </c>
      <c r="R237" s="1" t="s">
        <v>172</v>
      </c>
      <c r="S237" s="1">
        <v>50</v>
      </c>
      <c r="T237" s="1">
        <v>7702.5</v>
      </c>
      <c r="U237" s="1">
        <v>21</v>
      </c>
      <c r="V237" s="1">
        <v>9320.0249999999996</v>
      </c>
      <c r="W237" s="1">
        <v>0</v>
      </c>
      <c r="X237" s="1">
        <v>0</v>
      </c>
      <c r="Y237" s="1">
        <v>0</v>
      </c>
      <c r="Z237" s="1">
        <v>385125</v>
      </c>
      <c r="AA237" s="1"/>
    </row>
    <row r="238" spans="1:27" hidden="1" x14ac:dyDescent="0.3">
      <c r="A238" s="1" t="s">
        <v>264</v>
      </c>
      <c r="B238" s="2">
        <v>45833</v>
      </c>
      <c r="C238" s="1" t="s">
        <v>25</v>
      </c>
      <c r="D238" s="1">
        <v>1</v>
      </c>
      <c r="E238" s="1">
        <v>-1054965.1200000001</v>
      </c>
      <c r="F238" s="1">
        <v>-1054965.1200000001</v>
      </c>
      <c r="G238" s="1">
        <v>-183093.12</v>
      </c>
      <c r="H238" s="1">
        <v>-871872</v>
      </c>
      <c r="I238" s="1" t="s">
        <v>26</v>
      </c>
      <c r="J238" s="1"/>
      <c r="K238" s="1" t="s">
        <v>265</v>
      </c>
      <c r="L238" s="1"/>
      <c r="M238" s="1" t="s">
        <v>27</v>
      </c>
      <c r="N238" s="1"/>
      <c r="O238" s="1"/>
      <c r="P238" s="1" t="s">
        <v>28</v>
      </c>
      <c r="Q238" s="1" t="s">
        <v>49</v>
      </c>
      <c r="R238" s="1" t="s">
        <v>50</v>
      </c>
      <c r="S238" s="1">
        <v>20</v>
      </c>
      <c r="T238" s="1">
        <v>11890.25</v>
      </c>
      <c r="U238" s="1">
        <v>21</v>
      </c>
      <c r="V238" s="1">
        <v>14387.202499999999</v>
      </c>
      <c r="W238" s="1">
        <v>0</v>
      </c>
      <c r="X238" s="1">
        <v>0</v>
      </c>
      <c r="Y238" s="1">
        <v>0</v>
      </c>
      <c r="Z238" s="1">
        <v>237805</v>
      </c>
      <c r="AA238" s="1"/>
    </row>
    <row r="239" spans="1:27" hidden="1" x14ac:dyDescent="0.3">
      <c r="A239" s="1" t="s">
        <v>264</v>
      </c>
      <c r="B239" s="2">
        <v>45833</v>
      </c>
      <c r="C239" s="1" t="s">
        <v>25</v>
      </c>
      <c r="D239" s="1">
        <v>1</v>
      </c>
      <c r="E239" s="1">
        <v>-1054965.1200000001</v>
      </c>
      <c r="F239" s="1">
        <v>-1054965.1200000001</v>
      </c>
      <c r="G239" s="1">
        <v>-183093.12</v>
      </c>
      <c r="H239" s="1">
        <v>-871872</v>
      </c>
      <c r="I239" s="1" t="s">
        <v>26</v>
      </c>
      <c r="J239" s="1"/>
      <c r="K239" s="1" t="s">
        <v>265</v>
      </c>
      <c r="L239" s="1"/>
      <c r="M239" s="1" t="s">
        <v>27</v>
      </c>
      <c r="N239" s="1"/>
      <c r="O239" s="1"/>
      <c r="P239" s="1" t="s">
        <v>28</v>
      </c>
      <c r="Q239" s="1" t="s">
        <v>58</v>
      </c>
      <c r="R239" s="1" t="s">
        <v>59</v>
      </c>
      <c r="S239" s="1">
        <v>20</v>
      </c>
      <c r="T239" s="1">
        <v>12284.6</v>
      </c>
      <c r="U239" s="1">
        <v>21</v>
      </c>
      <c r="V239" s="1">
        <v>14864.366</v>
      </c>
      <c r="W239" s="1">
        <v>0</v>
      </c>
      <c r="X239" s="1">
        <v>0</v>
      </c>
      <c r="Y239" s="1">
        <v>0</v>
      </c>
      <c r="Z239" s="1">
        <v>245692</v>
      </c>
      <c r="AA239" s="1"/>
    </row>
    <row r="240" spans="1:27" hidden="1" x14ac:dyDescent="0.3">
      <c r="A240" s="1" t="s">
        <v>264</v>
      </c>
      <c r="B240" s="2">
        <v>45833</v>
      </c>
      <c r="C240" s="1" t="s">
        <v>25</v>
      </c>
      <c r="D240" s="1">
        <v>1</v>
      </c>
      <c r="E240" s="1">
        <v>-1054965.1200000001</v>
      </c>
      <c r="F240" s="1">
        <v>-1054965.1200000001</v>
      </c>
      <c r="G240" s="1">
        <v>-183093.12</v>
      </c>
      <c r="H240" s="1">
        <v>-871872</v>
      </c>
      <c r="I240" s="1" t="s">
        <v>26</v>
      </c>
      <c r="J240" s="1"/>
      <c r="K240" s="1" t="s">
        <v>265</v>
      </c>
      <c r="L240" s="1"/>
      <c r="M240" s="1" t="s">
        <v>27</v>
      </c>
      <c r="N240" s="1"/>
      <c r="O240" s="1"/>
      <c r="P240" s="1" t="s">
        <v>28</v>
      </c>
      <c r="Q240" s="1" t="s">
        <v>171</v>
      </c>
      <c r="R240" s="1" t="s">
        <v>172</v>
      </c>
      <c r="S240" s="1">
        <v>50</v>
      </c>
      <c r="T240" s="1">
        <v>7767.5</v>
      </c>
      <c r="U240" s="1">
        <v>21</v>
      </c>
      <c r="V240" s="1">
        <v>9398.6749999999993</v>
      </c>
      <c r="W240" s="1">
        <v>0</v>
      </c>
      <c r="X240" s="1">
        <v>0</v>
      </c>
      <c r="Y240" s="1">
        <v>0</v>
      </c>
      <c r="Z240" s="1">
        <v>388375</v>
      </c>
      <c r="AA240" s="1"/>
    </row>
    <row r="241" spans="1:27" x14ac:dyDescent="0.3">
      <c r="A241" s="1" t="s">
        <v>266</v>
      </c>
      <c r="B241" s="2">
        <v>45833</v>
      </c>
      <c r="C241" s="1" t="s">
        <v>25</v>
      </c>
      <c r="D241" s="1">
        <v>1</v>
      </c>
      <c r="E241" s="1">
        <v>4293184.93</v>
      </c>
      <c r="F241" s="1">
        <v>0</v>
      </c>
      <c r="G241" s="1">
        <v>0</v>
      </c>
      <c r="H241" s="1">
        <v>4293184.93</v>
      </c>
      <c r="I241" s="1" t="s">
        <v>26</v>
      </c>
      <c r="J241" s="1" t="s">
        <v>36</v>
      </c>
      <c r="K241" s="1"/>
      <c r="L241" s="1" t="s">
        <v>267</v>
      </c>
      <c r="M241" s="1" t="s">
        <v>27</v>
      </c>
      <c r="N241" s="1" t="s">
        <v>38</v>
      </c>
      <c r="O241" s="1"/>
      <c r="P241" s="1" t="s">
        <v>28</v>
      </c>
      <c r="Q241" s="1" t="s">
        <v>39</v>
      </c>
      <c r="R241" s="1" t="s">
        <v>268</v>
      </c>
      <c r="T241" s="1">
        <v>4293184.93</v>
      </c>
      <c r="AA241" s="1" t="s">
        <v>267</v>
      </c>
    </row>
    <row r="242" spans="1:27" hidden="1" x14ac:dyDescent="0.3">
      <c r="A242" s="1" t="s">
        <v>269</v>
      </c>
      <c r="B242" s="2">
        <v>45834</v>
      </c>
      <c r="C242" s="1" t="s">
        <v>25</v>
      </c>
      <c r="D242" s="1">
        <v>1</v>
      </c>
      <c r="E242" s="1">
        <v>-1412121.43</v>
      </c>
      <c r="F242" s="1">
        <v>-1412121.43</v>
      </c>
      <c r="G242" s="1">
        <v>-245078.93</v>
      </c>
      <c r="H242" s="1">
        <v>-1167042.5</v>
      </c>
      <c r="I242" s="1" t="s">
        <v>26</v>
      </c>
      <c r="J242" s="1"/>
      <c r="K242" s="1" t="s">
        <v>270</v>
      </c>
      <c r="L242" s="1"/>
      <c r="M242" s="1" t="s">
        <v>27</v>
      </c>
      <c r="N242" s="1"/>
      <c r="O242" s="1"/>
      <c r="P242" s="1" t="s">
        <v>28</v>
      </c>
      <c r="Q242" s="1" t="s">
        <v>46</v>
      </c>
      <c r="R242" s="1" t="s">
        <v>47</v>
      </c>
      <c r="S242" s="1">
        <v>50</v>
      </c>
      <c r="T242" s="1">
        <v>7434.85</v>
      </c>
      <c r="U242" s="1">
        <v>21</v>
      </c>
      <c r="V242" s="1">
        <v>8996.1684999999998</v>
      </c>
      <c r="W242" s="1">
        <v>0</v>
      </c>
      <c r="X242" s="1">
        <v>0</v>
      </c>
      <c r="Y242" s="1">
        <v>0</v>
      </c>
      <c r="Z242" s="1">
        <v>371742.5</v>
      </c>
      <c r="AA242" s="1"/>
    </row>
    <row r="243" spans="1:27" hidden="1" x14ac:dyDescent="0.3">
      <c r="A243" s="1" t="s">
        <v>269</v>
      </c>
      <c r="B243" s="2">
        <v>45834</v>
      </c>
      <c r="C243" s="1" t="s">
        <v>25</v>
      </c>
      <c r="D243" s="1">
        <v>1</v>
      </c>
      <c r="E243" s="1">
        <v>-1412121.43</v>
      </c>
      <c r="F243" s="1">
        <v>-1412121.43</v>
      </c>
      <c r="G243" s="1">
        <v>-245078.93</v>
      </c>
      <c r="H243" s="1">
        <v>-1167042.5</v>
      </c>
      <c r="I243" s="1" t="s">
        <v>26</v>
      </c>
      <c r="J243" s="1"/>
      <c r="K243" s="1" t="s">
        <v>270</v>
      </c>
      <c r="L243" s="1"/>
      <c r="M243" s="1" t="s">
        <v>27</v>
      </c>
      <c r="N243" s="1"/>
      <c r="O243" s="1"/>
      <c r="P243" s="1" t="s">
        <v>28</v>
      </c>
      <c r="Q243" s="1" t="s">
        <v>29</v>
      </c>
      <c r="R243" s="1" t="s">
        <v>30</v>
      </c>
      <c r="S243" s="1">
        <v>100</v>
      </c>
      <c r="T243" s="1">
        <v>7953</v>
      </c>
      <c r="U243" s="1">
        <v>21</v>
      </c>
      <c r="V243" s="1">
        <v>9623.1299999999992</v>
      </c>
      <c r="W243" s="1">
        <v>0</v>
      </c>
      <c r="X243" s="1">
        <v>0</v>
      </c>
      <c r="Y243" s="1">
        <v>0</v>
      </c>
      <c r="Z243" s="1">
        <v>795300</v>
      </c>
      <c r="AA243" s="1"/>
    </row>
    <row r="244" spans="1:27" x14ac:dyDescent="0.3">
      <c r="A244" s="1" t="s">
        <v>271</v>
      </c>
      <c r="B244" s="2">
        <v>45834</v>
      </c>
      <c r="C244" s="1" t="s">
        <v>25</v>
      </c>
      <c r="D244" s="1">
        <v>1</v>
      </c>
      <c r="E244" s="1">
        <v>10000000</v>
      </c>
      <c r="F244" s="1">
        <v>0</v>
      </c>
      <c r="G244" s="1">
        <v>0</v>
      </c>
      <c r="H244" s="1">
        <v>10000000</v>
      </c>
      <c r="I244" s="1" t="s">
        <v>26</v>
      </c>
      <c r="J244" s="1" t="s">
        <v>36</v>
      </c>
      <c r="K244" s="1"/>
      <c r="L244" s="1" t="s">
        <v>272</v>
      </c>
      <c r="M244" s="1" t="s">
        <v>27</v>
      </c>
      <c r="N244" s="1" t="s">
        <v>38</v>
      </c>
      <c r="O244" s="1"/>
      <c r="P244" s="1" t="s">
        <v>28</v>
      </c>
      <c r="Q244" s="1" t="s">
        <v>273</v>
      </c>
      <c r="R244" s="1" t="s">
        <v>274</v>
      </c>
      <c r="T244" s="1">
        <v>10000000</v>
      </c>
      <c r="AA244" s="1" t="s">
        <v>272</v>
      </c>
    </row>
    <row r="245" spans="1:27" hidden="1" x14ac:dyDescent="0.3">
      <c r="A245" s="1" t="s">
        <v>275</v>
      </c>
      <c r="B245" s="2">
        <v>45835</v>
      </c>
      <c r="C245" s="1" t="s">
        <v>25</v>
      </c>
      <c r="D245" s="1">
        <v>1</v>
      </c>
      <c r="E245" s="1">
        <v>-780931.58</v>
      </c>
      <c r="F245" s="1">
        <v>-780931.58</v>
      </c>
      <c r="G245" s="1">
        <v>-135533.57999999999</v>
      </c>
      <c r="H245" s="1">
        <v>-645398</v>
      </c>
      <c r="I245" s="1" t="s">
        <v>26</v>
      </c>
      <c r="J245" s="1"/>
      <c r="K245" s="1" t="s">
        <v>270</v>
      </c>
      <c r="L245" s="1"/>
      <c r="M245" s="1" t="s">
        <v>27</v>
      </c>
      <c r="N245" s="1"/>
      <c r="O245" s="1"/>
      <c r="P245" s="1" t="s">
        <v>28</v>
      </c>
      <c r="Q245" s="1" t="s">
        <v>29</v>
      </c>
      <c r="R245" s="1" t="s">
        <v>30</v>
      </c>
      <c r="S245" s="1">
        <v>50</v>
      </c>
      <c r="T245" s="1">
        <v>7953</v>
      </c>
      <c r="U245" s="1">
        <v>21</v>
      </c>
      <c r="V245" s="1">
        <v>9623.1299999999992</v>
      </c>
      <c r="W245" s="1">
        <v>0</v>
      </c>
      <c r="X245" s="1">
        <v>0</v>
      </c>
      <c r="Y245" s="1">
        <v>0</v>
      </c>
      <c r="Z245" s="1">
        <v>397650</v>
      </c>
      <c r="AA245" s="1"/>
    </row>
    <row r="246" spans="1:27" hidden="1" x14ac:dyDescent="0.3">
      <c r="A246" s="1" t="s">
        <v>275</v>
      </c>
      <c r="B246" s="2">
        <v>45835</v>
      </c>
      <c r="C246" s="1" t="s">
        <v>25</v>
      </c>
      <c r="D246" s="1">
        <v>1</v>
      </c>
      <c r="E246" s="1">
        <v>-780931.58</v>
      </c>
      <c r="F246" s="1">
        <v>-780931.58</v>
      </c>
      <c r="G246" s="1">
        <v>-135533.57999999999</v>
      </c>
      <c r="H246" s="1">
        <v>-645398</v>
      </c>
      <c r="I246" s="1" t="s">
        <v>26</v>
      </c>
      <c r="J246" s="1"/>
      <c r="K246" s="1" t="s">
        <v>270</v>
      </c>
      <c r="L246" s="1"/>
      <c r="M246" s="1" t="s">
        <v>27</v>
      </c>
      <c r="N246" s="1"/>
      <c r="O246" s="1"/>
      <c r="P246" s="1" t="s">
        <v>28</v>
      </c>
      <c r="Q246" s="1" t="s">
        <v>58</v>
      </c>
      <c r="R246" s="1" t="s">
        <v>59</v>
      </c>
      <c r="S246" s="1">
        <v>20</v>
      </c>
      <c r="T246" s="1">
        <v>12387.4</v>
      </c>
      <c r="U246" s="1">
        <v>21</v>
      </c>
      <c r="V246" s="1">
        <v>14988.754000000001</v>
      </c>
      <c r="W246" s="1">
        <v>0</v>
      </c>
      <c r="X246" s="1">
        <v>0</v>
      </c>
      <c r="Y246" s="1">
        <v>0</v>
      </c>
      <c r="Z246" s="1">
        <v>247748</v>
      </c>
      <c r="AA246" s="1"/>
    </row>
    <row r="247" spans="1:27" hidden="1" x14ac:dyDescent="0.3">
      <c r="A247" s="1" t="s">
        <v>276</v>
      </c>
      <c r="B247" s="2">
        <v>45838</v>
      </c>
      <c r="C247" s="1" t="s">
        <v>25</v>
      </c>
      <c r="D247" s="1">
        <v>1</v>
      </c>
      <c r="E247" s="1">
        <v>-1105201.8999999999</v>
      </c>
      <c r="F247" s="1">
        <v>-1105201.8999999999</v>
      </c>
      <c r="G247" s="1">
        <v>-191811.9</v>
      </c>
      <c r="H247" s="1">
        <v>-913390</v>
      </c>
      <c r="I247" s="1" t="s">
        <v>26</v>
      </c>
      <c r="J247" s="1"/>
      <c r="K247" s="1" t="s">
        <v>270</v>
      </c>
      <c r="L247" s="1"/>
      <c r="M247" s="1" t="s">
        <v>27</v>
      </c>
      <c r="N247" s="1"/>
      <c r="O247" s="1"/>
      <c r="P247" s="1" t="s">
        <v>28</v>
      </c>
      <c r="Q247" s="1" t="s">
        <v>29</v>
      </c>
      <c r="R247" s="1" t="s">
        <v>30</v>
      </c>
      <c r="S247" s="1">
        <v>50</v>
      </c>
      <c r="T247" s="1">
        <v>7953</v>
      </c>
      <c r="U247" s="1">
        <v>21</v>
      </c>
      <c r="V247" s="1">
        <v>9623.1299999999992</v>
      </c>
      <c r="W247" s="1">
        <v>0</v>
      </c>
      <c r="X247" s="1">
        <v>0</v>
      </c>
      <c r="Y247" s="1">
        <v>0</v>
      </c>
      <c r="Z247" s="1">
        <v>397650</v>
      </c>
      <c r="AA247" s="1"/>
    </row>
    <row r="248" spans="1:27" hidden="1" x14ac:dyDescent="0.3">
      <c r="A248" s="1" t="s">
        <v>276</v>
      </c>
      <c r="B248" s="2">
        <v>45838</v>
      </c>
      <c r="C248" s="1" t="s">
        <v>25</v>
      </c>
      <c r="D248" s="1">
        <v>1</v>
      </c>
      <c r="E248" s="1">
        <v>-1105201.8999999999</v>
      </c>
      <c r="F248" s="1">
        <v>-1105201.8999999999</v>
      </c>
      <c r="G248" s="1">
        <v>-191811.9</v>
      </c>
      <c r="H248" s="1">
        <v>-913390</v>
      </c>
      <c r="I248" s="1" t="s">
        <v>26</v>
      </c>
      <c r="J248" s="1"/>
      <c r="K248" s="1" t="s">
        <v>270</v>
      </c>
      <c r="L248" s="1"/>
      <c r="M248" s="1" t="s">
        <v>27</v>
      </c>
      <c r="N248" s="1"/>
      <c r="O248" s="1"/>
      <c r="P248" s="1" t="s">
        <v>28</v>
      </c>
      <c r="Q248" s="1" t="s">
        <v>129</v>
      </c>
      <c r="R248" s="1" t="s">
        <v>130</v>
      </c>
      <c r="S248" s="1">
        <v>25</v>
      </c>
      <c r="T248" s="1">
        <v>10820.9</v>
      </c>
      <c r="U248" s="1">
        <v>21</v>
      </c>
      <c r="V248" s="1">
        <v>13093.289000000001</v>
      </c>
      <c r="W248" s="1">
        <v>0</v>
      </c>
      <c r="X248" s="1">
        <v>0</v>
      </c>
      <c r="Y248" s="1">
        <v>0</v>
      </c>
      <c r="Z248" s="1">
        <v>270522.5</v>
      </c>
      <c r="AA248" s="1"/>
    </row>
    <row r="249" spans="1:27" hidden="1" x14ac:dyDescent="0.3">
      <c r="A249" s="1" t="s">
        <v>276</v>
      </c>
      <c r="B249" s="2">
        <v>45838</v>
      </c>
      <c r="C249" s="1" t="s">
        <v>25</v>
      </c>
      <c r="D249" s="1">
        <v>1</v>
      </c>
      <c r="E249" s="1">
        <v>-1105201.8999999999</v>
      </c>
      <c r="F249" s="1">
        <v>-1105201.8999999999</v>
      </c>
      <c r="G249" s="1">
        <v>-191811.9</v>
      </c>
      <c r="H249" s="1">
        <v>-913390</v>
      </c>
      <c r="I249" s="1" t="s">
        <v>26</v>
      </c>
      <c r="J249" s="1"/>
      <c r="K249" s="1" t="s">
        <v>270</v>
      </c>
      <c r="L249" s="1"/>
      <c r="M249" s="1" t="s">
        <v>27</v>
      </c>
      <c r="N249" s="1"/>
      <c r="O249" s="1"/>
      <c r="P249" s="1" t="s">
        <v>28</v>
      </c>
      <c r="Q249" s="1" t="s">
        <v>83</v>
      </c>
      <c r="R249" s="1" t="s">
        <v>84</v>
      </c>
      <c r="S249" s="1">
        <v>25</v>
      </c>
      <c r="T249" s="1">
        <v>9808.7000000000007</v>
      </c>
      <c r="U249" s="1">
        <v>21</v>
      </c>
      <c r="V249" s="1">
        <v>11868.527</v>
      </c>
      <c r="W249" s="1">
        <v>0</v>
      </c>
      <c r="X249" s="1">
        <v>0</v>
      </c>
      <c r="Y249" s="1">
        <v>0</v>
      </c>
      <c r="Z249" s="1">
        <v>245217.5</v>
      </c>
      <c r="AA249" s="1"/>
    </row>
    <row r="251" spans="1:27" x14ac:dyDescent="0.3">
      <c r="T251">
        <f>SUM(T5:T244)</f>
        <v>76307135.360000014</v>
      </c>
    </row>
  </sheetData>
  <autoFilter ref="A1:AB249">
    <filterColumn colId="0">
      <filters>
        <filter val="PA-A-1-1009"/>
        <filter val="PA-A-1-1018"/>
        <filter val="PA-A-1-1019"/>
        <filter val="PA-A-1-1024"/>
        <filter val="PA-A-1-837"/>
        <filter val="PA-A-1-841"/>
        <filter val="PA-A-1-843"/>
        <filter val="PA-A-1-853"/>
        <filter val="PA-A-1-860"/>
        <filter val="PA-A-1-862"/>
        <filter val="PA-A-1-885"/>
        <filter val="PA-A-1-891"/>
        <filter val="PA-A-1-899"/>
        <filter val="PA-A-1-916"/>
        <filter val="PA-A-1-955"/>
        <filter val="PA-A-1-963"/>
        <filter val="PA-A-1-972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7"/>
  <sheetViews>
    <sheetView topLeftCell="A179" workbookViewId="0">
      <selection activeCell="A2" sqref="A2:I217"/>
    </sheetView>
  </sheetViews>
  <sheetFormatPr baseColWidth="10" defaultRowHeight="14.4" x14ac:dyDescent="0.3"/>
  <cols>
    <col min="4" max="4" width="38.33203125" customWidth="1"/>
    <col min="6" max="6" width="20.33203125" customWidth="1"/>
  </cols>
  <sheetData>
    <row r="1" spans="1:9" x14ac:dyDescent="0.3">
      <c r="A1" s="1" t="s">
        <v>0</v>
      </c>
      <c r="B1" s="1" t="s">
        <v>1</v>
      </c>
      <c r="C1" s="1" t="s">
        <v>10</v>
      </c>
      <c r="D1" s="1" t="s">
        <v>17</v>
      </c>
      <c r="E1" s="1" t="s">
        <v>18</v>
      </c>
      <c r="F1" s="1" t="s">
        <v>19</v>
      </c>
      <c r="G1" s="1" t="s">
        <v>6</v>
      </c>
      <c r="H1" s="1" t="s">
        <v>20</v>
      </c>
      <c r="I1" s="1" t="s">
        <v>4</v>
      </c>
    </row>
    <row r="2" spans="1:9" x14ac:dyDescent="0.3">
      <c r="A2" s="1" t="s">
        <v>24</v>
      </c>
      <c r="B2" s="2">
        <v>45660</v>
      </c>
      <c r="C2" s="1"/>
      <c r="D2" s="1" t="s">
        <v>30</v>
      </c>
      <c r="E2" s="1">
        <v>50</v>
      </c>
      <c r="F2" s="1">
        <v>7367.5</v>
      </c>
      <c r="G2" s="1">
        <v>21</v>
      </c>
      <c r="H2" s="1">
        <v>8914.6749999999993</v>
      </c>
      <c r="I2" s="1">
        <v>368375</v>
      </c>
    </row>
    <row r="3" spans="1:9" x14ac:dyDescent="0.3">
      <c r="A3" s="1" t="s">
        <v>24</v>
      </c>
      <c r="B3" s="2">
        <v>45660</v>
      </c>
      <c r="C3" s="1"/>
      <c r="D3" s="1" t="s">
        <v>32</v>
      </c>
      <c r="E3" s="1">
        <v>25</v>
      </c>
      <c r="F3" s="1">
        <v>8420</v>
      </c>
      <c r="G3" s="1">
        <v>21</v>
      </c>
      <c r="H3" s="1">
        <v>10188.200000000001</v>
      </c>
      <c r="I3" s="1">
        <v>210500</v>
      </c>
    </row>
    <row r="4" spans="1:9" x14ac:dyDescent="0.3">
      <c r="A4" s="1" t="s">
        <v>24</v>
      </c>
      <c r="B4" s="2">
        <v>45660</v>
      </c>
      <c r="C4" s="1"/>
      <c r="D4" s="1" t="s">
        <v>34</v>
      </c>
      <c r="E4" s="1">
        <v>25</v>
      </c>
      <c r="F4" s="1">
        <v>9156.75</v>
      </c>
      <c r="G4" s="1">
        <v>21</v>
      </c>
      <c r="H4" s="1">
        <v>11079.6675</v>
      </c>
      <c r="I4" s="1">
        <v>228918.75</v>
      </c>
    </row>
    <row r="5" spans="1:9" x14ac:dyDescent="0.3">
      <c r="A5" s="1" t="s">
        <v>43</v>
      </c>
      <c r="B5" s="2">
        <v>45664</v>
      </c>
      <c r="C5" s="1"/>
      <c r="D5" s="1" t="s">
        <v>30</v>
      </c>
      <c r="E5" s="1">
        <v>75</v>
      </c>
      <c r="F5" s="1">
        <v>7385</v>
      </c>
      <c r="G5" s="1">
        <v>21</v>
      </c>
      <c r="H5" s="1">
        <v>8935.85</v>
      </c>
      <c r="I5" s="1">
        <v>553875</v>
      </c>
    </row>
    <row r="6" spans="1:9" x14ac:dyDescent="0.3">
      <c r="A6" s="1" t="s">
        <v>44</v>
      </c>
      <c r="B6" s="2">
        <v>45664</v>
      </c>
      <c r="C6" s="1"/>
      <c r="D6" s="1" t="s">
        <v>30</v>
      </c>
      <c r="E6" s="1">
        <v>50</v>
      </c>
      <c r="F6" s="1">
        <v>7385</v>
      </c>
      <c r="G6" s="1">
        <v>21</v>
      </c>
      <c r="H6" s="1">
        <v>8935.85</v>
      </c>
      <c r="I6" s="1">
        <v>369250</v>
      </c>
    </row>
    <row r="7" spans="1:9" x14ac:dyDescent="0.3">
      <c r="A7" s="1" t="s">
        <v>44</v>
      </c>
      <c r="B7" s="2">
        <v>45664</v>
      </c>
      <c r="C7" s="1"/>
      <c r="D7" s="1" t="s">
        <v>32</v>
      </c>
      <c r="E7" s="1">
        <v>25</v>
      </c>
      <c r="F7" s="1">
        <v>8440</v>
      </c>
      <c r="G7" s="1">
        <v>21</v>
      </c>
      <c r="H7" s="1">
        <v>10212.4</v>
      </c>
      <c r="I7" s="1">
        <v>211000</v>
      </c>
    </row>
    <row r="8" spans="1:9" x14ac:dyDescent="0.3">
      <c r="A8" s="1" t="s">
        <v>45</v>
      </c>
      <c r="B8" s="2">
        <v>45665</v>
      </c>
      <c r="C8" s="1"/>
      <c r="D8" s="1" t="s">
        <v>47</v>
      </c>
      <c r="E8" s="1">
        <v>25</v>
      </c>
      <c r="F8" s="1">
        <v>6512.44</v>
      </c>
      <c r="G8" s="1">
        <v>21</v>
      </c>
      <c r="H8" s="1">
        <v>7880.0523999999996</v>
      </c>
      <c r="I8" s="1">
        <v>162811</v>
      </c>
    </row>
    <row r="9" spans="1:9" x14ac:dyDescent="0.3">
      <c r="A9" s="1" t="s">
        <v>45</v>
      </c>
      <c r="B9" s="2">
        <v>45665</v>
      </c>
      <c r="C9" s="1"/>
      <c r="D9" s="1" t="s">
        <v>32</v>
      </c>
      <c r="E9" s="1">
        <v>25</v>
      </c>
      <c r="F9" s="1">
        <v>8444</v>
      </c>
      <c r="G9" s="1">
        <v>21</v>
      </c>
      <c r="H9" s="1">
        <v>10217.24</v>
      </c>
      <c r="I9" s="1">
        <v>211100</v>
      </c>
    </row>
    <row r="10" spans="1:9" x14ac:dyDescent="0.3">
      <c r="A10" s="1" t="s">
        <v>48</v>
      </c>
      <c r="B10" s="2">
        <v>45666</v>
      </c>
      <c r="C10" s="1"/>
      <c r="D10" s="1" t="s">
        <v>50</v>
      </c>
      <c r="E10" s="1">
        <v>20</v>
      </c>
      <c r="F10" s="1">
        <v>10507.2</v>
      </c>
      <c r="G10" s="1">
        <v>21</v>
      </c>
      <c r="H10" s="1">
        <v>12713.712</v>
      </c>
      <c r="I10" s="1">
        <v>210144</v>
      </c>
    </row>
    <row r="11" spans="1:9" x14ac:dyDescent="0.3">
      <c r="A11" s="1" t="s">
        <v>51</v>
      </c>
      <c r="B11" s="2">
        <v>45670</v>
      </c>
      <c r="C11" s="1"/>
      <c r="D11" s="1" t="s">
        <v>50</v>
      </c>
      <c r="E11" s="1">
        <v>20</v>
      </c>
      <c r="F11" s="1">
        <v>10537.05</v>
      </c>
      <c r="G11" s="1">
        <v>21</v>
      </c>
      <c r="H11" s="1">
        <v>12749.8305</v>
      </c>
      <c r="I11" s="1">
        <v>210741</v>
      </c>
    </row>
    <row r="12" spans="1:9" x14ac:dyDescent="0.3">
      <c r="A12" s="1" t="s">
        <v>57</v>
      </c>
      <c r="B12" s="2">
        <v>45672</v>
      </c>
      <c r="C12" s="1"/>
      <c r="D12" s="1" t="s">
        <v>30</v>
      </c>
      <c r="E12" s="1">
        <v>75</v>
      </c>
      <c r="F12" s="1">
        <v>7423.5</v>
      </c>
      <c r="G12" s="1">
        <v>21</v>
      </c>
      <c r="H12" s="1">
        <v>8982.4349999999995</v>
      </c>
      <c r="I12" s="1">
        <v>556762.5</v>
      </c>
    </row>
    <row r="13" spans="1:9" x14ac:dyDescent="0.3">
      <c r="A13" s="1" t="s">
        <v>57</v>
      </c>
      <c r="B13" s="2">
        <v>45672</v>
      </c>
      <c r="C13" s="1"/>
      <c r="D13" s="1" t="s">
        <v>50</v>
      </c>
      <c r="E13" s="1">
        <v>20</v>
      </c>
      <c r="F13" s="1">
        <v>10551.98</v>
      </c>
      <c r="G13" s="1">
        <v>21</v>
      </c>
      <c r="H13" s="1">
        <v>12767.8958</v>
      </c>
      <c r="I13" s="1">
        <v>211039.6</v>
      </c>
    </row>
    <row r="14" spans="1:9" x14ac:dyDescent="0.3">
      <c r="A14" s="1" t="s">
        <v>57</v>
      </c>
      <c r="B14" s="2">
        <v>45672</v>
      </c>
      <c r="C14" s="1"/>
      <c r="D14" s="1" t="s">
        <v>59</v>
      </c>
      <c r="E14" s="1">
        <v>20</v>
      </c>
      <c r="F14" s="1">
        <v>10901.94</v>
      </c>
      <c r="G14" s="1">
        <v>21</v>
      </c>
      <c r="H14" s="1">
        <v>13191.347400000001</v>
      </c>
      <c r="I14" s="1">
        <v>218038.8</v>
      </c>
    </row>
    <row r="15" spans="1:9" x14ac:dyDescent="0.3">
      <c r="A15" s="1" t="s">
        <v>60</v>
      </c>
      <c r="B15" s="2">
        <v>45673</v>
      </c>
      <c r="C15" s="1"/>
      <c r="D15" s="1" t="s">
        <v>47</v>
      </c>
      <c r="E15" s="1">
        <v>25</v>
      </c>
      <c r="F15" s="1">
        <v>6549.46</v>
      </c>
      <c r="G15" s="1">
        <v>21</v>
      </c>
      <c r="H15" s="1">
        <v>7924.8465999999999</v>
      </c>
      <c r="I15" s="1">
        <v>163736.5</v>
      </c>
    </row>
    <row r="16" spans="1:9" x14ac:dyDescent="0.3">
      <c r="A16" s="1" t="s">
        <v>60</v>
      </c>
      <c r="B16" s="2">
        <v>45673</v>
      </c>
      <c r="C16" s="1"/>
      <c r="D16" s="1" t="s">
        <v>62</v>
      </c>
      <c r="E16" s="1">
        <v>25</v>
      </c>
      <c r="F16" s="1">
        <v>6857.29</v>
      </c>
      <c r="G16" s="1">
        <v>21</v>
      </c>
      <c r="H16" s="1">
        <v>8297.3209000000006</v>
      </c>
      <c r="I16" s="1">
        <v>171432.25</v>
      </c>
    </row>
    <row r="17" spans="1:9" x14ac:dyDescent="0.3">
      <c r="A17" s="1" t="s">
        <v>63</v>
      </c>
      <c r="B17" s="2">
        <v>45679</v>
      </c>
      <c r="C17" s="1"/>
      <c r="D17" s="1" t="s">
        <v>47</v>
      </c>
      <c r="E17" s="1">
        <v>25</v>
      </c>
      <c r="F17" s="1">
        <v>6580.31</v>
      </c>
      <c r="G17" s="1">
        <v>21</v>
      </c>
      <c r="H17" s="1">
        <v>7962.1751000000004</v>
      </c>
      <c r="I17" s="1">
        <v>164507.75</v>
      </c>
    </row>
    <row r="18" spans="1:9" x14ac:dyDescent="0.3">
      <c r="A18" s="1" t="s">
        <v>63</v>
      </c>
      <c r="B18" s="2">
        <v>45679</v>
      </c>
      <c r="C18" s="1"/>
      <c r="D18" s="1" t="s">
        <v>30</v>
      </c>
      <c r="E18" s="1">
        <v>75</v>
      </c>
      <c r="F18" s="1">
        <v>7465.5</v>
      </c>
      <c r="G18" s="1">
        <v>21</v>
      </c>
      <c r="H18" s="1">
        <v>9033.2549999999992</v>
      </c>
      <c r="I18" s="1">
        <v>559912.5</v>
      </c>
    </row>
    <row r="19" spans="1:9" x14ac:dyDescent="0.3">
      <c r="A19" s="1" t="s">
        <v>67</v>
      </c>
      <c r="B19" s="2">
        <v>45684</v>
      </c>
      <c r="C19" s="1"/>
      <c r="D19" s="1" t="s">
        <v>50</v>
      </c>
      <c r="E19" s="1">
        <v>20</v>
      </c>
      <c r="F19" s="1">
        <v>10636.55</v>
      </c>
      <c r="G19" s="1">
        <v>21</v>
      </c>
      <c r="H19" s="1">
        <v>12870.2255</v>
      </c>
      <c r="I19" s="1">
        <v>212731</v>
      </c>
    </row>
    <row r="20" spans="1:9" x14ac:dyDescent="0.3">
      <c r="A20" s="1" t="s">
        <v>67</v>
      </c>
      <c r="B20" s="2">
        <v>45684</v>
      </c>
      <c r="C20" s="1"/>
      <c r="D20" s="1" t="s">
        <v>59</v>
      </c>
      <c r="E20" s="1">
        <v>20</v>
      </c>
      <c r="F20" s="1">
        <v>10989.32</v>
      </c>
      <c r="G20" s="1">
        <v>21</v>
      </c>
      <c r="H20" s="1">
        <v>13297.0772</v>
      </c>
      <c r="I20" s="1">
        <v>219786.4</v>
      </c>
    </row>
    <row r="21" spans="1:9" x14ac:dyDescent="0.3">
      <c r="A21" s="1" t="s">
        <v>67</v>
      </c>
      <c r="B21" s="2">
        <v>45684</v>
      </c>
      <c r="C21" s="1"/>
      <c r="D21" s="1" t="s">
        <v>32</v>
      </c>
      <c r="E21" s="1">
        <v>50</v>
      </c>
      <c r="F21" s="1">
        <v>8552</v>
      </c>
      <c r="G21" s="1">
        <v>21</v>
      </c>
      <c r="H21" s="1">
        <v>10347.92</v>
      </c>
      <c r="I21" s="1">
        <v>427600</v>
      </c>
    </row>
    <row r="22" spans="1:9" x14ac:dyDescent="0.3">
      <c r="A22" s="1" t="s">
        <v>68</v>
      </c>
      <c r="B22" s="2">
        <v>45685</v>
      </c>
      <c r="C22" s="1"/>
      <c r="D22" s="1" t="s">
        <v>47</v>
      </c>
      <c r="E22" s="1">
        <v>50</v>
      </c>
      <c r="F22" s="1">
        <v>6601.9</v>
      </c>
      <c r="G22" s="1">
        <v>21</v>
      </c>
      <c r="H22" s="1">
        <v>7988.299</v>
      </c>
      <c r="I22" s="1">
        <v>330095</v>
      </c>
    </row>
    <row r="23" spans="1:9" x14ac:dyDescent="0.3">
      <c r="A23" s="1" t="s">
        <v>68</v>
      </c>
      <c r="B23" s="2">
        <v>45685</v>
      </c>
      <c r="C23" s="1"/>
      <c r="D23" s="1" t="s">
        <v>30</v>
      </c>
      <c r="E23" s="1">
        <v>50</v>
      </c>
      <c r="F23" s="1">
        <v>7490</v>
      </c>
      <c r="G23" s="1">
        <v>21</v>
      </c>
      <c r="H23" s="1">
        <v>9062.9</v>
      </c>
      <c r="I23" s="1">
        <v>374500</v>
      </c>
    </row>
    <row r="24" spans="1:9" x14ac:dyDescent="0.3">
      <c r="A24" s="1" t="s">
        <v>69</v>
      </c>
      <c r="B24" s="2">
        <v>45686</v>
      </c>
      <c r="C24" s="1"/>
      <c r="D24" s="1" t="s">
        <v>30</v>
      </c>
      <c r="E24" s="1">
        <v>50</v>
      </c>
      <c r="F24" s="1">
        <v>7493.5</v>
      </c>
      <c r="G24" s="1">
        <v>21</v>
      </c>
      <c r="H24" s="1">
        <v>9067.1350000000002</v>
      </c>
      <c r="I24" s="1">
        <v>374675</v>
      </c>
    </row>
    <row r="25" spans="1:9" x14ac:dyDescent="0.3">
      <c r="A25" s="1" t="s">
        <v>69</v>
      </c>
      <c r="B25" s="2">
        <v>45686</v>
      </c>
      <c r="C25" s="1"/>
      <c r="D25" s="1" t="s">
        <v>32</v>
      </c>
      <c r="E25" s="1">
        <v>25</v>
      </c>
      <c r="F25" s="1">
        <v>8564</v>
      </c>
      <c r="G25" s="1">
        <v>21</v>
      </c>
      <c r="H25" s="1">
        <v>10362.44</v>
      </c>
      <c r="I25" s="1">
        <v>214100</v>
      </c>
    </row>
    <row r="26" spans="1:9" x14ac:dyDescent="0.3">
      <c r="A26" s="1" t="s">
        <v>73</v>
      </c>
      <c r="B26" s="2">
        <v>45687</v>
      </c>
      <c r="C26" s="1"/>
      <c r="D26" s="1" t="s">
        <v>50</v>
      </c>
      <c r="E26" s="1">
        <v>20</v>
      </c>
      <c r="F26" s="1">
        <v>10656.45</v>
      </c>
      <c r="G26" s="1">
        <v>21</v>
      </c>
      <c r="H26" s="1">
        <v>12894.3045</v>
      </c>
      <c r="I26" s="1">
        <v>213129</v>
      </c>
    </row>
    <row r="27" spans="1:9" x14ac:dyDescent="0.3">
      <c r="A27" s="1" t="s">
        <v>74</v>
      </c>
      <c r="B27" s="2">
        <v>45687</v>
      </c>
      <c r="C27" s="1"/>
      <c r="D27" s="1" t="s">
        <v>76</v>
      </c>
      <c r="E27" s="1">
        <v>20</v>
      </c>
      <c r="F27" s="1">
        <v>19952.73</v>
      </c>
      <c r="G27" s="1">
        <v>21</v>
      </c>
      <c r="H27" s="1">
        <v>24142.8033</v>
      </c>
      <c r="I27" s="1">
        <v>399054.6</v>
      </c>
    </row>
    <row r="28" spans="1:9" x14ac:dyDescent="0.3">
      <c r="A28" s="1" t="s">
        <v>74</v>
      </c>
      <c r="B28" s="2">
        <v>45687</v>
      </c>
      <c r="C28" s="1"/>
      <c r="D28" s="1" t="s">
        <v>78</v>
      </c>
      <c r="E28" s="1">
        <v>25</v>
      </c>
      <c r="F28" s="1">
        <v>10859.94</v>
      </c>
      <c r="G28" s="1">
        <v>21</v>
      </c>
      <c r="H28" s="1">
        <v>13140.527400000001</v>
      </c>
      <c r="I28" s="1">
        <v>271498.5</v>
      </c>
    </row>
    <row r="29" spans="1:9" x14ac:dyDescent="0.3">
      <c r="A29" s="1" t="s">
        <v>79</v>
      </c>
      <c r="B29" s="2">
        <v>45688</v>
      </c>
      <c r="C29" s="1"/>
      <c r="D29" s="1" t="s">
        <v>30</v>
      </c>
      <c r="E29" s="1">
        <v>50</v>
      </c>
      <c r="F29" s="1">
        <v>7504</v>
      </c>
      <c r="G29" s="1">
        <v>21</v>
      </c>
      <c r="H29" s="1">
        <v>9079.84</v>
      </c>
      <c r="I29" s="1">
        <v>375200</v>
      </c>
    </row>
    <row r="30" spans="1:9" x14ac:dyDescent="0.3">
      <c r="A30" s="1" t="s">
        <v>80</v>
      </c>
      <c r="B30" s="2">
        <v>45688</v>
      </c>
      <c r="C30" s="1"/>
      <c r="D30" s="1" t="s">
        <v>47</v>
      </c>
      <c r="E30" s="1">
        <v>50</v>
      </c>
      <c r="F30" s="1">
        <v>6614.24</v>
      </c>
      <c r="G30" s="1">
        <v>21</v>
      </c>
      <c r="H30" s="1">
        <v>8003.2304000000004</v>
      </c>
      <c r="I30" s="1">
        <v>330712</v>
      </c>
    </row>
    <row r="31" spans="1:9" x14ac:dyDescent="0.3">
      <c r="A31" s="1" t="s">
        <v>80</v>
      </c>
      <c r="B31" s="2">
        <v>45688</v>
      </c>
      <c r="C31" s="1"/>
      <c r="D31" s="1" t="s">
        <v>30</v>
      </c>
      <c r="E31" s="1">
        <v>50</v>
      </c>
      <c r="F31" s="1">
        <v>7504</v>
      </c>
      <c r="G31" s="1">
        <v>21</v>
      </c>
      <c r="H31" s="1">
        <v>9079.84</v>
      </c>
      <c r="I31" s="1">
        <v>375200</v>
      </c>
    </row>
    <row r="32" spans="1:9" x14ac:dyDescent="0.3">
      <c r="A32" s="1" t="s">
        <v>80</v>
      </c>
      <c r="B32" s="2">
        <v>45688</v>
      </c>
      <c r="C32" s="1"/>
      <c r="D32" s="1" t="s">
        <v>59</v>
      </c>
      <c r="E32" s="1">
        <v>20</v>
      </c>
      <c r="F32" s="1">
        <v>11020.16</v>
      </c>
      <c r="G32" s="1">
        <v>21</v>
      </c>
      <c r="H32" s="1">
        <v>13334.393599999999</v>
      </c>
      <c r="I32" s="1">
        <v>220403.20000000001</v>
      </c>
    </row>
    <row r="33" spans="1:9" x14ac:dyDescent="0.3">
      <c r="A33" s="1" t="s">
        <v>80</v>
      </c>
      <c r="B33" s="2">
        <v>45688</v>
      </c>
      <c r="C33" s="1"/>
      <c r="D33" s="1" t="s">
        <v>62</v>
      </c>
      <c r="E33" s="1">
        <v>25</v>
      </c>
      <c r="F33" s="1">
        <v>6925.12</v>
      </c>
      <c r="G33" s="1">
        <v>21</v>
      </c>
      <c r="H33" s="1">
        <v>8379.3952000000008</v>
      </c>
      <c r="I33" s="1">
        <v>173128</v>
      </c>
    </row>
    <row r="34" spans="1:9" x14ac:dyDescent="0.3">
      <c r="A34" s="1" t="s">
        <v>81</v>
      </c>
      <c r="B34" s="2">
        <v>45693</v>
      </c>
      <c r="C34" s="1"/>
      <c r="D34" s="1" t="s">
        <v>30</v>
      </c>
      <c r="E34" s="1">
        <v>100</v>
      </c>
      <c r="F34" s="1">
        <v>8058.75</v>
      </c>
      <c r="G34" s="1">
        <v>21</v>
      </c>
      <c r="H34" s="1">
        <v>9751.0874999999996</v>
      </c>
      <c r="I34" s="1">
        <v>805875</v>
      </c>
    </row>
    <row r="35" spans="1:9" x14ac:dyDescent="0.3">
      <c r="A35" s="1" t="s">
        <v>82</v>
      </c>
      <c r="B35" s="2">
        <v>45698</v>
      </c>
      <c r="C35" s="1"/>
      <c r="D35" s="1" t="s">
        <v>30</v>
      </c>
      <c r="E35" s="1">
        <v>100</v>
      </c>
      <c r="F35" s="1">
        <v>7530.25</v>
      </c>
      <c r="G35" s="1">
        <v>21</v>
      </c>
      <c r="H35" s="1">
        <v>9111.6025000000009</v>
      </c>
      <c r="I35" s="1">
        <v>753025</v>
      </c>
    </row>
    <row r="36" spans="1:9" x14ac:dyDescent="0.3">
      <c r="A36" s="1" t="s">
        <v>82</v>
      </c>
      <c r="B36" s="2">
        <v>45698</v>
      </c>
      <c r="C36" s="1"/>
      <c r="D36" s="1" t="s">
        <v>84</v>
      </c>
      <c r="E36" s="1">
        <v>50</v>
      </c>
      <c r="F36" s="1">
        <v>8756.61</v>
      </c>
      <c r="G36" s="1">
        <v>21</v>
      </c>
      <c r="H36" s="1">
        <v>10595.498100000001</v>
      </c>
      <c r="I36" s="1">
        <v>437830.5</v>
      </c>
    </row>
    <row r="37" spans="1:9" x14ac:dyDescent="0.3">
      <c r="A37" s="1" t="s">
        <v>85</v>
      </c>
      <c r="B37" s="2">
        <v>45699</v>
      </c>
      <c r="C37" s="1"/>
      <c r="D37" s="1" t="s">
        <v>50</v>
      </c>
      <c r="E37" s="1">
        <v>20</v>
      </c>
      <c r="F37" s="1">
        <v>10706.2</v>
      </c>
      <c r="G37" s="1">
        <v>21</v>
      </c>
      <c r="H37" s="1">
        <v>12954.502</v>
      </c>
      <c r="I37" s="1">
        <v>214124</v>
      </c>
    </row>
    <row r="38" spans="1:9" x14ac:dyDescent="0.3">
      <c r="A38" s="1" t="s">
        <v>86</v>
      </c>
      <c r="B38" s="2">
        <v>45700</v>
      </c>
      <c r="C38" s="1"/>
      <c r="D38" s="1" t="s">
        <v>30</v>
      </c>
      <c r="E38" s="1">
        <v>100</v>
      </c>
      <c r="F38" s="1">
        <v>7532</v>
      </c>
      <c r="G38" s="1">
        <v>21</v>
      </c>
      <c r="H38" s="1">
        <v>9113.7199999999993</v>
      </c>
      <c r="I38" s="1">
        <v>753200</v>
      </c>
    </row>
    <row r="39" spans="1:9" x14ac:dyDescent="0.3">
      <c r="A39" s="1" t="s">
        <v>87</v>
      </c>
      <c r="B39" s="2">
        <v>45701</v>
      </c>
      <c r="C39" s="1"/>
      <c r="D39" s="1" t="s">
        <v>62</v>
      </c>
      <c r="E39" s="1">
        <v>25</v>
      </c>
      <c r="F39" s="1">
        <v>6952.58</v>
      </c>
      <c r="G39" s="1">
        <v>21</v>
      </c>
      <c r="H39" s="1">
        <v>8412.6218000000008</v>
      </c>
      <c r="I39" s="1">
        <v>173814.5</v>
      </c>
    </row>
    <row r="40" spans="1:9" x14ac:dyDescent="0.3">
      <c r="A40" s="1" t="s">
        <v>88</v>
      </c>
      <c r="B40" s="2">
        <v>45706</v>
      </c>
      <c r="C40" s="1"/>
      <c r="D40" s="1" t="s">
        <v>30</v>
      </c>
      <c r="E40" s="1">
        <v>100</v>
      </c>
      <c r="F40" s="1">
        <v>7551.25</v>
      </c>
      <c r="G40" s="1">
        <v>21</v>
      </c>
      <c r="H40" s="1">
        <v>9137.0125000000007</v>
      </c>
      <c r="I40" s="1">
        <v>755125</v>
      </c>
    </row>
    <row r="41" spans="1:9" x14ac:dyDescent="0.3">
      <c r="A41" s="1" t="s">
        <v>89</v>
      </c>
      <c r="B41" s="2">
        <v>45709</v>
      </c>
      <c r="C41" s="1" t="s">
        <v>90</v>
      </c>
      <c r="D41" s="1" t="s">
        <v>84</v>
      </c>
      <c r="E41" s="1">
        <v>25</v>
      </c>
      <c r="F41" s="1">
        <v>8783.06</v>
      </c>
      <c r="G41" s="1">
        <v>21</v>
      </c>
      <c r="H41" s="1">
        <v>10627.5026</v>
      </c>
      <c r="I41" s="1">
        <v>219576.5</v>
      </c>
    </row>
    <row r="42" spans="1:9" x14ac:dyDescent="0.3">
      <c r="A42" s="1" t="s">
        <v>91</v>
      </c>
      <c r="B42" s="2">
        <v>45708</v>
      </c>
      <c r="C42" s="1"/>
      <c r="D42" s="1" t="s">
        <v>30</v>
      </c>
      <c r="E42" s="1">
        <v>100</v>
      </c>
      <c r="F42" s="1">
        <v>7553</v>
      </c>
      <c r="G42" s="1">
        <v>21</v>
      </c>
      <c r="H42" s="1">
        <v>9139.1299999999992</v>
      </c>
      <c r="I42" s="1">
        <v>755300</v>
      </c>
    </row>
    <row r="43" spans="1:9" x14ac:dyDescent="0.3">
      <c r="A43" s="1" t="s">
        <v>92</v>
      </c>
      <c r="B43" s="2">
        <v>45708</v>
      </c>
      <c r="C43" s="1"/>
      <c r="D43" s="1" t="s">
        <v>84</v>
      </c>
      <c r="E43" s="1">
        <v>25</v>
      </c>
      <c r="F43" s="1">
        <v>8783.06</v>
      </c>
      <c r="G43" s="1">
        <v>21</v>
      </c>
      <c r="H43" s="1">
        <v>10627.5026</v>
      </c>
      <c r="I43" s="1">
        <v>219576.5</v>
      </c>
    </row>
    <row r="44" spans="1:9" x14ac:dyDescent="0.3">
      <c r="A44" s="1" t="s">
        <v>93</v>
      </c>
      <c r="B44" s="2">
        <v>45708</v>
      </c>
      <c r="C44" s="1"/>
      <c r="D44" s="1" t="s">
        <v>50</v>
      </c>
      <c r="E44" s="1">
        <v>20</v>
      </c>
      <c r="F44" s="1">
        <v>10736.05</v>
      </c>
      <c r="G44" s="1">
        <v>21</v>
      </c>
      <c r="H44" s="1">
        <v>12990.620500000001</v>
      </c>
      <c r="I44" s="1">
        <v>214721</v>
      </c>
    </row>
    <row r="45" spans="1:9" x14ac:dyDescent="0.3">
      <c r="A45" s="1" t="s">
        <v>93</v>
      </c>
      <c r="B45" s="2">
        <v>45708</v>
      </c>
      <c r="C45" s="1"/>
      <c r="D45" s="1" t="s">
        <v>59</v>
      </c>
      <c r="E45" s="1">
        <v>20</v>
      </c>
      <c r="F45" s="1">
        <v>11092.12</v>
      </c>
      <c r="G45" s="1">
        <v>21</v>
      </c>
      <c r="H45" s="1">
        <v>13421.465200000001</v>
      </c>
      <c r="I45" s="1">
        <v>221842.4</v>
      </c>
    </row>
    <row r="46" spans="1:9" x14ac:dyDescent="0.3">
      <c r="A46" s="1" t="s">
        <v>97</v>
      </c>
      <c r="B46" s="2">
        <v>45714</v>
      </c>
      <c r="C46" s="1"/>
      <c r="D46" s="1" t="s">
        <v>30</v>
      </c>
      <c r="E46" s="1">
        <v>100</v>
      </c>
      <c r="F46" s="1">
        <v>7567</v>
      </c>
      <c r="G46" s="1">
        <v>21</v>
      </c>
      <c r="H46" s="1">
        <v>9156.07</v>
      </c>
      <c r="I46" s="1">
        <v>756700</v>
      </c>
    </row>
    <row r="47" spans="1:9" x14ac:dyDescent="0.3">
      <c r="A47" s="1" t="s">
        <v>97</v>
      </c>
      <c r="B47" s="2">
        <v>45714</v>
      </c>
      <c r="C47" s="1"/>
      <c r="D47" s="1" t="s">
        <v>50</v>
      </c>
      <c r="E47" s="1">
        <v>20</v>
      </c>
      <c r="F47" s="1">
        <v>10755.95</v>
      </c>
      <c r="G47" s="1">
        <v>21</v>
      </c>
      <c r="H47" s="1">
        <v>13014.699500000001</v>
      </c>
      <c r="I47" s="1">
        <v>215119</v>
      </c>
    </row>
    <row r="48" spans="1:9" x14ac:dyDescent="0.3">
      <c r="A48" s="1" t="s">
        <v>97</v>
      </c>
      <c r="B48" s="2">
        <v>45714</v>
      </c>
      <c r="C48" s="1"/>
      <c r="D48" s="1" t="s">
        <v>62</v>
      </c>
      <c r="E48" s="1">
        <v>25</v>
      </c>
      <c r="F48" s="1">
        <v>6983.26</v>
      </c>
      <c r="G48" s="1">
        <v>21</v>
      </c>
      <c r="H48" s="1">
        <v>8449.7446</v>
      </c>
      <c r="I48" s="1">
        <v>174581.5</v>
      </c>
    </row>
    <row r="49" spans="1:9" x14ac:dyDescent="0.3">
      <c r="A49" s="1" t="s">
        <v>97</v>
      </c>
      <c r="B49" s="2">
        <v>45714</v>
      </c>
      <c r="C49" s="1"/>
      <c r="D49" s="1" t="s">
        <v>34</v>
      </c>
      <c r="E49" s="1">
        <v>25</v>
      </c>
      <c r="F49" s="1">
        <v>9404.7000000000007</v>
      </c>
      <c r="G49" s="1">
        <v>21</v>
      </c>
      <c r="H49" s="1">
        <v>11379.687</v>
      </c>
      <c r="I49" s="1">
        <v>235117.5</v>
      </c>
    </row>
    <row r="50" spans="1:9" x14ac:dyDescent="0.3">
      <c r="A50" s="1" t="s">
        <v>103</v>
      </c>
      <c r="B50" s="2">
        <v>45715</v>
      </c>
      <c r="C50" s="1"/>
      <c r="D50" s="1" t="s">
        <v>50</v>
      </c>
      <c r="E50" s="1">
        <v>20</v>
      </c>
      <c r="F50" s="1">
        <v>10758.44</v>
      </c>
      <c r="G50" s="1">
        <v>21</v>
      </c>
      <c r="H50" s="1">
        <v>13017.7124</v>
      </c>
      <c r="I50" s="1">
        <v>215168.8</v>
      </c>
    </row>
    <row r="51" spans="1:9" x14ac:dyDescent="0.3">
      <c r="A51" s="1" t="s">
        <v>103</v>
      </c>
      <c r="B51" s="2">
        <v>45715</v>
      </c>
      <c r="C51" s="1"/>
      <c r="D51" s="1" t="s">
        <v>59</v>
      </c>
      <c r="E51" s="1">
        <v>20</v>
      </c>
      <c r="F51" s="1">
        <v>11115.25</v>
      </c>
      <c r="G51" s="1">
        <v>21</v>
      </c>
      <c r="H51" s="1">
        <v>13449.452499999999</v>
      </c>
      <c r="I51" s="1">
        <v>222305</v>
      </c>
    </row>
    <row r="52" spans="1:9" x14ac:dyDescent="0.3">
      <c r="A52" s="1" t="s">
        <v>104</v>
      </c>
      <c r="B52" s="2">
        <v>45716</v>
      </c>
      <c r="C52" s="1"/>
      <c r="D52" s="1" t="s">
        <v>50</v>
      </c>
      <c r="E52" s="1">
        <v>20</v>
      </c>
      <c r="F52" s="1">
        <v>10763.41</v>
      </c>
      <c r="G52" s="1">
        <v>21</v>
      </c>
      <c r="H52" s="1">
        <v>13023.7261</v>
      </c>
      <c r="I52" s="1">
        <v>215268.2</v>
      </c>
    </row>
    <row r="53" spans="1:9" x14ac:dyDescent="0.3">
      <c r="A53" s="1" t="s">
        <v>105</v>
      </c>
      <c r="B53" s="2">
        <v>45721</v>
      </c>
      <c r="C53" s="1"/>
      <c r="D53" s="1" t="s">
        <v>30</v>
      </c>
      <c r="E53" s="1">
        <v>50</v>
      </c>
      <c r="F53" s="1">
        <v>7589.75</v>
      </c>
      <c r="G53" s="1">
        <v>21</v>
      </c>
      <c r="H53" s="1">
        <v>9183.5974999999999</v>
      </c>
      <c r="I53" s="1">
        <v>379487.5</v>
      </c>
    </row>
    <row r="54" spans="1:9" x14ac:dyDescent="0.3">
      <c r="A54" s="1" t="s">
        <v>106</v>
      </c>
      <c r="B54" s="2">
        <v>45722</v>
      </c>
      <c r="C54" s="1"/>
      <c r="D54" s="1" t="s">
        <v>30</v>
      </c>
      <c r="E54" s="1">
        <v>25</v>
      </c>
      <c r="F54" s="1">
        <v>7591.5</v>
      </c>
      <c r="G54" s="1">
        <v>21</v>
      </c>
      <c r="H54" s="1">
        <v>9185.7150000000001</v>
      </c>
      <c r="I54" s="1">
        <v>189787.5</v>
      </c>
    </row>
    <row r="55" spans="1:9" x14ac:dyDescent="0.3">
      <c r="A55" s="1" t="s">
        <v>106</v>
      </c>
      <c r="B55" s="2">
        <v>45722</v>
      </c>
      <c r="C55" s="1"/>
      <c r="D55" s="1" t="s">
        <v>50</v>
      </c>
      <c r="E55" s="1">
        <v>40</v>
      </c>
      <c r="F55" s="1">
        <v>10790.78</v>
      </c>
      <c r="G55" s="1">
        <v>21</v>
      </c>
      <c r="H55" s="1">
        <v>13056.843800000001</v>
      </c>
      <c r="I55" s="1">
        <v>431631.2</v>
      </c>
    </row>
    <row r="56" spans="1:9" x14ac:dyDescent="0.3">
      <c r="A56" s="1" t="s">
        <v>106</v>
      </c>
      <c r="B56" s="2">
        <v>45722</v>
      </c>
      <c r="C56" s="1"/>
      <c r="D56" s="1" t="s">
        <v>59</v>
      </c>
      <c r="E56" s="1">
        <v>20</v>
      </c>
      <c r="F56" s="1">
        <v>11148.66</v>
      </c>
      <c r="G56" s="1">
        <v>21</v>
      </c>
      <c r="H56" s="1">
        <v>13489.8786</v>
      </c>
      <c r="I56" s="1">
        <v>222973.2</v>
      </c>
    </row>
    <row r="57" spans="1:9" x14ac:dyDescent="0.3">
      <c r="A57" s="1" t="s">
        <v>107</v>
      </c>
      <c r="B57" s="2">
        <v>45723</v>
      </c>
      <c r="C57" s="1"/>
      <c r="D57" s="1" t="s">
        <v>47</v>
      </c>
      <c r="E57" s="1">
        <v>50</v>
      </c>
      <c r="F57" s="1">
        <v>6691.37</v>
      </c>
      <c r="G57" s="1">
        <v>21</v>
      </c>
      <c r="H57" s="1">
        <v>8096.5577000000003</v>
      </c>
      <c r="I57" s="1">
        <v>334568.5</v>
      </c>
    </row>
    <row r="58" spans="1:9" x14ac:dyDescent="0.3">
      <c r="A58" s="1" t="s">
        <v>108</v>
      </c>
      <c r="B58" s="2">
        <v>45726</v>
      </c>
      <c r="C58" s="1"/>
      <c r="D58" s="1" t="s">
        <v>47</v>
      </c>
      <c r="E58" s="1">
        <v>75</v>
      </c>
      <c r="F58" s="1">
        <v>6700.62</v>
      </c>
      <c r="G58" s="1">
        <v>21</v>
      </c>
      <c r="H58" s="1">
        <v>8107.7502000000004</v>
      </c>
      <c r="I58" s="1">
        <v>502546.5</v>
      </c>
    </row>
    <row r="59" spans="1:9" x14ac:dyDescent="0.3">
      <c r="A59" s="1" t="s">
        <v>108</v>
      </c>
      <c r="B59" s="2">
        <v>45726</v>
      </c>
      <c r="C59" s="1"/>
      <c r="D59" s="1" t="s">
        <v>30</v>
      </c>
      <c r="E59" s="1">
        <v>25</v>
      </c>
      <c r="F59" s="1">
        <v>7602</v>
      </c>
      <c r="G59" s="1">
        <v>21</v>
      </c>
      <c r="H59" s="1">
        <v>9198.42</v>
      </c>
      <c r="I59" s="1">
        <v>190050</v>
      </c>
    </row>
    <row r="60" spans="1:9" x14ac:dyDescent="0.3">
      <c r="A60" s="1" t="s">
        <v>109</v>
      </c>
      <c r="B60" s="2">
        <v>45727</v>
      </c>
      <c r="C60" s="1"/>
      <c r="D60" s="1" t="s">
        <v>76</v>
      </c>
      <c r="E60" s="1">
        <v>20</v>
      </c>
      <c r="F60" s="1">
        <v>20236.84</v>
      </c>
      <c r="G60" s="1">
        <v>21</v>
      </c>
      <c r="H60" s="1">
        <v>24486.576400000002</v>
      </c>
      <c r="I60" s="1">
        <v>404736.8</v>
      </c>
    </row>
    <row r="61" spans="1:9" x14ac:dyDescent="0.3">
      <c r="A61" s="1" t="s">
        <v>109</v>
      </c>
      <c r="B61" s="2">
        <v>45727</v>
      </c>
      <c r="C61" s="1"/>
      <c r="D61" s="1" t="s">
        <v>111</v>
      </c>
      <c r="E61" s="1">
        <v>2</v>
      </c>
      <c r="F61" s="1">
        <v>95590</v>
      </c>
      <c r="G61" s="1">
        <v>21</v>
      </c>
      <c r="H61" s="1">
        <v>115663.9</v>
      </c>
      <c r="I61" s="1">
        <v>191180</v>
      </c>
    </row>
    <row r="62" spans="1:9" x14ac:dyDescent="0.3">
      <c r="A62" s="1" t="s">
        <v>112</v>
      </c>
      <c r="B62" s="2">
        <v>45728</v>
      </c>
      <c r="C62" s="1"/>
      <c r="D62" s="1" t="s">
        <v>30</v>
      </c>
      <c r="E62" s="1">
        <v>100</v>
      </c>
      <c r="F62" s="1">
        <v>7603.75</v>
      </c>
      <c r="G62" s="1">
        <v>21</v>
      </c>
      <c r="H62" s="1">
        <v>9200.5375000000004</v>
      </c>
      <c r="I62" s="1">
        <v>760375</v>
      </c>
    </row>
    <row r="63" spans="1:9" x14ac:dyDescent="0.3">
      <c r="A63" s="1" t="s">
        <v>113</v>
      </c>
      <c r="B63" s="2">
        <v>45729</v>
      </c>
      <c r="C63" s="1"/>
      <c r="D63" s="1" t="s">
        <v>30</v>
      </c>
      <c r="E63" s="1">
        <v>75</v>
      </c>
      <c r="F63" s="1">
        <v>7603.75</v>
      </c>
      <c r="G63" s="1">
        <v>21</v>
      </c>
      <c r="H63" s="1">
        <v>9200.5375000000004</v>
      </c>
      <c r="I63" s="1">
        <v>570281.25</v>
      </c>
    </row>
    <row r="64" spans="1:9" x14ac:dyDescent="0.3">
      <c r="A64" s="1" t="s">
        <v>113</v>
      </c>
      <c r="B64" s="2">
        <v>45729</v>
      </c>
      <c r="C64" s="1"/>
      <c r="D64" s="1" t="s">
        <v>50</v>
      </c>
      <c r="E64" s="1">
        <v>20</v>
      </c>
      <c r="F64" s="1">
        <v>10808.19</v>
      </c>
      <c r="G64" s="1">
        <v>21</v>
      </c>
      <c r="H64" s="1">
        <v>13077.909900000001</v>
      </c>
      <c r="I64" s="1">
        <v>216163.8</v>
      </c>
    </row>
    <row r="65" spans="1:9" x14ac:dyDescent="0.3">
      <c r="A65" s="1" t="s">
        <v>113</v>
      </c>
      <c r="B65" s="2">
        <v>45729</v>
      </c>
      <c r="C65" s="1"/>
      <c r="D65" s="1" t="s">
        <v>59</v>
      </c>
      <c r="E65" s="1">
        <v>20</v>
      </c>
      <c r="F65" s="1">
        <v>11166.65</v>
      </c>
      <c r="G65" s="1">
        <v>21</v>
      </c>
      <c r="H65" s="1">
        <v>13511.646500000001</v>
      </c>
      <c r="I65" s="1">
        <v>223333</v>
      </c>
    </row>
    <row r="66" spans="1:9" x14ac:dyDescent="0.3">
      <c r="A66" s="1" t="s">
        <v>114</v>
      </c>
      <c r="B66" s="2">
        <v>45733</v>
      </c>
      <c r="C66" s="1"/>
      <c r="D66" s="1" t="s">
        <v>50</v>
      </c>
      <c r="E66" s="1">
        <v>20</v>
      </c>
      <c r="F66" s="1">
        <v>10825.6</v>
      </c>
      <c r="G66" s="1">
        <v>21</v>
      </c>
      <c r="H66" s="1">
        <v>13098.976000000001</v>
      </c>
      <c r="I66" s="1">
        <v>216512</v>
      </c>
    </row>
    <row r="67" spans="1:9" x14ac:dyDescent="0.3">
      <c r="A67" s="1" t="s">
        <v>114</v>
      </c>
      <c r="B67" s="2">
        <v>45733</v>
      </c>
      <c r="C67" s="1"/>
      <c r="D67" s="1" t="s">
        <v>62</v>
      </c>
      <c r="E67" s="1">
        <v>25</v>
      </c>
      <c r="F67" s="1">
        <v>7028.48</v>
      </c>
      <c r="G67" s="1">
        <v>21</v>
      </c>
      <c r="H67" s="1">
        <v>8504.4608000000007</v>
      </c>
      <c r="I67" s="1">
        <v>175712</v>
      </c>
    </row>
    <row r="68" spans="1:9" x14ac:dyDescent="0.3">
      <c r="A68" s="1" t="s">
        <v>114</v>
      </c>
      <c r="B68" s="2">
        <v>45733</v>
      </c>
      <c r="C68" s="1"/>
      <c r="D68" s="1" t="s">
        <v>34</v>
      </c>
      <c r="E68" s="1">
        <v>50</v>
      </c>
      <c r="F68" s="1">
        <v>9465.6</v>
      </c>
      <c r="G68" s="1">
        <v>21</v>
      </c>
      <c r="H68" s="1">
        <v>11453.376</v>
      </c>
      <c r="I68" s="1">
        <v>473280</v>
      </c>
    </row>
    <row r="69" spans="1:9" x14ac:dyDescent="0.3">
      <c r="A69" s="1" t="s">
        <v>128</v>
      </c>
      <c r="B69" s="2">
        <v>45735</v>
      </c>
      <c r="C69" s="1"/>
      <c r="D69" s="1" t="s">
        <v>47</v>
      </c>
      <c r="E69" s="1">
        <v>50</v>
      </c>
      <c r="F69" s="1">
        <v>6716.05</v>
      </c>
      <c r="G69" s="1">
        <v>21</v>
      </c>
      <c r="H69" s="1">
        <v>8126.4205000000002</v>
      </c>
      <c r="I69" s="1">
        <v>335802.5</v>
      </c>
    </row>
    <row r="70" spans="1:9" x14ac:dyDescent="0.3">
      <c r="A70" s="1" t="s">
        <v>128</v>
      </c>
      <c r="B70" s="2">
        <v>45735</v>
      </c>
      <c r="C70" s="1"/>
      <c r="D70" s="1" t="s">
        <v>50</v>
      </c>
      <c r="E70" s="1">
        <v>40</v>
      </c>
      <c r="F70" s="1">
        <v>10830.58</v>
      </c>
      <c r="G70" s="1">
        <v>21</v>
      </c>
      <c r="H70" s="1">
        <v>13105.0018</v>
      </c>
      <c r="I70" s="1">
        <v>433223.2</v>
      </c>
    </row>
    <row r="71" spans="1:9" x14ac:dyDescent="0.3">
      <c r="A71" s="1" t="s">
        <v>128</v>
      </c>
      <c r="B71" s="2">
        <v>45735</v>
      </c>
      <c r="C71" s="1"/>
      <c r="D71" s="1" t="s">
        <v>59</v>
      </c>
      <c r="E71" s="1">
        <v>20</v>
      </c>
      <c r="F71" s="1">
        <v>11189.78</v>
      </c>
      <c r="G71" s="1">
        <v>21</v>
      </c>
      <c r="H71" s="1">
        <v>13539.6338</v>
      </c>
      <c r="I71" s="1">
        <v>223795.6</v>
      </c>
    </row>
    <row r="72" spans="1:9" x14ac:dyDescent="0.3">
      <c r="A72" s="1" t="s">
        <v>128</v>
      </c>
      <c r="B72" s="2">
        <v>45735</v>
      </c>
      <c r="C72" s="1"/>
      <c r="D72" s="1" t="s">
        <v>130</v>
      </c>
      <c r="E72" s="1">
        <v>25</v>
      </c>
      <c r="F72" s="1">
        <v>9774.73</v>
      </c>
      <c r="G72" s="1">
        <v>21</v>
      </c>
      <c r="H72" s="1">
        <v>11827.4233</v>
      </c>
      <c r="I72" s="1">
        <v>244368.25</v>
      </c>
    </row>
    <row r="73" spans="1:9" x14ac:dyDescent="0.3">
      <c r="A73" s="1" t="s">
        <v>128</v>
      </c>
      <c r="B73" s="2">
        <v>45735</v>
      </c>
      <c r="C73" s="1"/>
      <c r="D73" s="1" t="s">
        <v>34</v>
      </c>
      <c r="E73" s="1">
        <v>25</v>
      </c>
      <c r="F73" s="1">
        <v>9469.9500000000007</v>
      </c>
      <c r="G73" s="1">
        <v>21</v>
      </c>
      <c r="H73" s="1">
        <v>11458.639499999999</v>
      </c>
      <c r="I73" s="1">
        <v>236748.75</v>
      </c>
    </row>
    <row r="74" spans="1:9" x14ac:dyDescent="0.3">
      <c r="A74" s="1" t="s">
        <v>131</v>
      </c>
      <c r="B74" s="2">
        <v>45736</v>
      </c>
      <c r="C74" s="1"/>
      <c r="D74" s="1" t="s">
        <v>34</v>
      </c>
      <c r="E74" s="1">
        <v>25</v>
      </c>
      <c r="F74" s="1">
        <v>9476.48</v>
      </c>
      <c r="G74" s="1">
        <v>21</v>
      </c>
      <c r="H74" s="1">
        <v>11466.540800000001</v>
      </c>
      <c r="I74" s="1">
        <v>236912</v>
      </c>
    </row>
    <row r="75" spans="1:9" x14ac:dyDescent="0.3">
      <c r="A75" s="1" t="s">
        <v>137</v>
      </c>
      <c r="B75" s="2">
        <v>45741</v>
      </c>
      <c r="C75" s="1"/>
      <c r="D75" s="1" t="s">
        <v>34</v>
      </c>
      <c r="E75" s="1">
        <v>25</v>
      </c>
      <c r="F75" s="1">
        <v>9493.8799999999992</v>
      </c>
      <c r="G75" s="1">
        <v>21</v>
      </c>
      <c r="H75" s="1">
        <v>11487.594800000001</v>
      </c>
      <c r="I75" s="1">
        <v>237347</v>
      </c>
    </row>
    <row r="76" spans="1:9" x14ac:dyDescent="0.3">
      <c r="A76" s="1" t="s">
        <v>138</v>
      </c>
      <c r="B76" s="2">
        <v>45741</v>
      </c>
      <c r="C76" s="1"/>
      <c r="D76" s="1" t="s">
        <v>62</v>
      </c>
      <c r="E76" s="1">
        <v>25</v>
      </c>
      <c r="F76" s="1">
        <v>7047.86</v>
      </c>
      <c r="G76" s="1">
        <v>21</v>
      </c>
      <c r="H76" s="1">
        <v>8527.9105999999992</v>
      </c>
      <c r="I76" s="1">
        <v>176196.5</v>
      </c>
    </row>
    <row r="77" spans="1:9" x14ac:dyDescent="0.3">
      <c r="A77" s="1" t="s">
        <v>138</v>
      </c>
      <c r="B77" s="2">
        <v>45741</v>
      </c>
      <c r="C77" s="1"/>
      <c r="D77" s="1" t="s">
        <v>32</v>
      </c>
      <c r="E77" s="1">
        <v>25</v>
      </c>
      <c r="F77" s="1">
        <v>8728</v>
      </c>
      <c r="G77" s="1">
        <v>21</v>
      </c>
      <c r="H77" s="1">
        <v>10560.88</v>
      </c>
      <c r="I77" s="1">
        <v>218200</v>
      </c>
    </row>
    <row r="78" spans="1:9" x14ac:dyDescent="0.3">
      <c r="A78" s="1" t="s">
        <v>142</v>
      </c>
      <c r="B78" s="2">
        <v>45742</v>
      </c>
      <c r="C78" s="1"/>
      <c r="D78" s="1" t="s">
        <v>130</v>
      </c>
      <c r="E78" s="1">
        <v>25</v>
      </c>
      <c r="F78" s="1">
        <v>9799.43</v>
      </c>
      <c r="G78" s="1">
        <v>21</v>
      </c>
      <c r="H78" s="1">
        <v>11857.310299999999</v>
      </c>
      <c r="I78" s="1">
        <v>244985.75</v>
      </c>
    </row>
    <row r="79" spans="1:9" x14ac:dyDescent="0.3">
      <c r="A79" s="1" t="s">
        <v>143</v>
      </c>
      <c r="B79" s="2">
        <v>45743</v>
      </c>
      <c r="C79" s="1"/>
      <c r="D79" s="1" t="s">
        <v>50</v>
      </c>
      <c r="E79" s="1">
        <v>20</v>
      </c>
      <c r="F79" s="1">
        <v>10860.43</v>
      </c>
      <c r="G79" s="1">
        <v>21</v>
      </c>
      <c r="H79" s="1">
        <v>13141.1203</v>
      </c>
      <c r="I79" s="1">
        <v>217208.6</v>
      </c>
    </row>
    <row r="80" spans="1:9" x14ac:dyDescent="0.3">
      <c r="A80" s="1" t="s">
        <v>143</v>
      </c>
      <c r="B80" s="2">
        <v>45743</v>
      </c>
      <c r="C80" s="1"/>
      <c r="D80" s="1" t="s">
        <v>59</v>
      </c>
      <c r="E80" s="1">
        <v>20</v>
      </c>
      <c r="F80" s="1">
        <v>11220.62</v>
      </c>
      <c r="G80" s="1">
        <v>21</v>
      </c>
      <c r="H80" s="1">
        <v>13576.950199999999</v>
      </c>
      <c r="I80" s="1">
        <v>224412.4</v>
      </c>
    </row>
    <row r="81" spans="1:9" x14ac:dyDescent="0.3">
      <c r="A81" s="1" t="s">
        <v>143</v>
      </c>
      <c r="B81" s="2">
        <v>45743</v>
      </c>
      <c r="C81" s="1"/>
      <c r="D81" s="1" t="s">
        <v>145</v>
      </c>
      <c r="E81" s="1">
        <v>25</v>
      </c>
      <c r="F81" s="1">
        <v>11133.3</v>
      </c>
      <c r="G81" s="1">
        <v>21</v>
      </c>
      <c r="H81" s="1">
        <v>13471.293</v>
      </c>
      <c r="I81" s="1">
        <v>278332.5</v>
      </c>
    </row>
    <row r="82" spans="1:9" x14ac:dyDescent="0.3">
      <c r="A82" s="1" t="s">
        <v>146</v>
      </c>
      <c r="B82" s="2">
        <v>45744</v>
      </c>
      <c r="C82" s="1"/>
      <c r="D82" s="1" t="s">
        <v>30</v>
      </c>
      <c r="E82" s="1">
        <v>100</v>
      </c>
      <c r="F82" s="1">
        <v>7642.25</v>
      </c>
      <c r="G82" s="1">
        <v>21</v>
      </c>
      <c r="H82" s="1">
        <v>9247.1224999999995</v>
      </c>
      <c r="I82" s="1">
        <v>764225</v>
      </c>
    </row>
    <row r="83" spans="1:9" x14ac:dyDescent="0.3">
      <c r="A83" s="1" t="s">
        <v>146</v>
      </c>
      <c r="B83" s="2">
        <v>45744</v>
      </c>
      <c r="C83" s="1"/>
      <c r="D83" s="1" t="s">
        <v>50</v>
      </c>
      <c r="E83" s="1">
        <v>20</v>
      </c>
      <c r="F83" s="1">
        <v>10862.91</v>
      </c>
      <c r="G83" s="1">
        <v>21</v>
      </c>
      <c r="H83" s="1">
        <v>13144.1211</v>
      </c>
      <c r="I83" s="1">
        <v>217258.2</v>
      </c>
    </row>
    <row r="84" spans="1:9" x14ac:dyDescent="0.3">
      <c r="A84" s="1" t="s">
        <v>206</v>
      </c>
      <c r="B84" s="2">
        <v>45748</v>
      </c>
      <c r="C84" s="1"/>
      <c r="D84" s="1" t="s">
        <v>47</v>
      </c>
      <c r="E84" s="1">
        <v>100</v>
      </c>
      <c r="F84" s="1">
        <v>6746.9</v>
      </c>
      <c r="G84" s="1">
        <v>21</v>
      </c>
      <c r="H84" s="1">
        <v>8163.7489999999998</v>
      </c>
      <c r="I84" s="1">
        <v>674690</v>
      </c>
    </row>
    <row r="85" spans="1:9" x14ac:dyDescent="0.3">
      <c r="A85" s="1" t="s">
        <v>206</v>
      </c>
      <c r="B85" s="2">
        <v>45748</v>
      </c>
      <c r="C85" s="1"/>
      <c r="D85" s="1" t="s">
        <v>30</v>
      </c>
      <c r="E85" s="1">
        <v>50</v>
      </c>
      <c r="F85" s="1">
        <v>7654.5</v>
      </c>
      <c r="G85" s="1">
        <v>21</v>
      </c>
      <c r="H85" s="1">
        <v>9261.9449999999997</v>
      </c>
      <c r="I85" s="1">
        <v>382725</v>
      </c>
    </row>
    <row r="86" spans="1:9" x14ac:dyDescent="0.3">
      <c r="A86" s="1" t="s">
        <v>207</v>
      </c>
      <c r="B86" s="2">
        <v>45748</v>
      </c>
      <c r="C86" s="1"/>
      <c r="D86" s="1" t="s">
        <v>30</v>
      </c>
      <c r="E86" s="1">
        <v>50</v>
      </c>
      <c r="F86" s="1">
        <v>8201.25</v>
      </c>
      <c r="G86" s="1">
        <v>21</v>
      </c>
      <c r="H86" s="1">
        <v>9923.5125000000007</v>
      </c>
      <c r="I86" s="1">
        <v>410062.5</v>
      </c>
    </row>
    <row r="87" spans="1:9" x14ac:dyDescent="0.3">
      <c r="A87" s="1" t="s">
        <v>208</v>
      </c>
      <c r="B87" s="2">
        <v>45748</v>
      </c>
      <c r="C87" s="1"/>
      <c r="D87" s="1" t="s">
        <v>175</v>
      </c>
      <c r="E87" s="1">
        <v>1</v>
      </c>
      <c r="F87" s="1">
        <v>27337.5</v>
      </c>
      <c r="G87" s="1">
        <v>21</v>
      </c>
      <c r="H87" s="1">
        <v>33078.375</v>
      </c>
      <c r="I87" s="1">
        <v>27337.5</v>
      </c>
    </row>
    <row r="88" spans="1:9" x14ac:dyDescent="0.3">
      <c r="A88" s="1" t="s">
        <v>205</v>
      </c>
      <c r="B88" s="2">
        <v>45750</v>
      </c>
      <c r="C88" s="1"/>
      <c r="D88" s="1" t="s">
        <v>50</v>
      </c>
      <c r="E88" s="1">
        <v>40</v>
      </c>
      <c r="F88" s="1">
        <v>10887.79</v>
      </c>
      <c r="G88" s="1">
        <v>21</v>
      </c>
      <c r="H88" s="1">
        <v>13174.225899999999</v>
      </c>
      <c r="I88" s="1">
        <v>435511.6</v>
      </c>
    </row>
    <row r="89" spans="1:9" x14ac:dyDescent="0.3">
      <c r="A89" s="1" t="s">
        <v>205</v>
      </c>
      <c r="B89" s="2">
        <v>45750</v>
      </c>
      <c r="C89" s="1"/>
      <c r="D89" s="1" t="s">
        <v>59</v>
      </c>
      <c r="E89" s="1">
        <v>20</v>
      </c>
      <c r="F89" s="1">
        <v>11248.89</v>
      </c>
      <c r="G89" s="1">
        <v>21</v>
      </c>
      <c r="H89" s="1">
        <v>13611.1569</v>
      </c>
      <c r="I89" s="1">
        <v>224977.8</v>
      </c>
    </row>
    <row r="90" spans="1:9" x14ac:dyDescent="0.3">
      <c r="A90" s="1" t="s">
        <v>199</v>
      </c>
      <c r="B90" s="2">
        <v>45751</v>
      </c>
      <c r="C90" s="1"/>
      <c r="D90" s="1" t="s">
        <v>30</v>
      </c>
      <c r="E90" s="1">
        <v>50</v>
      </c>
      <c r="F90" s="1">
        <v>7661.5</v>
      </c>
      <c r="G90" s="1">
        <v>21</v>
      </c>
      <c r="H90" s="1">
        <v>9270.4150000000009</v>
      </c>
      <c r="I90" s="1">
        <v>383075</v>
      </c>
    </row>
    <row r="91" spans="1:9" x14ac:dyDescent="0.3">
      <c r="A91" s="1" t="s">
        <v>199</v>
      </c>
      <c r="B91" s="2">
        <v>45751</v>
      </c>
      <c r="C91" s="1"/>
      <c r="D91" s="1" t="s">
        <v>32</v>
      </c>
      <c r="E91" s="1">
        <v>75</v>
      </c>
      <c r="F91" s="1">
        <v>8756</v>
      </c>
      <c r="G91" s="1">
        <v>21</v>
      </c>
      <c r="H91" s="1">
        <v>10594.76</v>
      </c>
      <c r="I91" s="1">
        <v>656700</v>
      </c>
    </row>
    <row r="92" spans="1:9" x14ac:dyDescent="0.3">
      <c r="A92" s="1" t="s">
        <v>196</v>
      </c>
      <c r="B92" s="2">
        <v>45754</v>
      </c>
      <c r="C92" s="1"/>
      <c r="D92" s="1" t="s">
        <v>59</v>
      </c>
      <c r="E92" s="1">
        <v>20</v>
      </c>
      <c r="F92" s="1">
        <v>11261.74</v>
      </c>
      <c r="G92" s="1">
        <v>21</v>
      </c>
      <c r="H92" s="1">
        <v>13626.705400000001</v>
      </c>
      <c r="I92" s="1">
        <v>225234.8</v>
      </c>
    </row>
    <row r="93" spans="1:9" x14ac:dyDescent="0.3">
      <c r="A93" s="1" t="s">
        <v>196</v>
      </c>
      <c r="B93" s="2">
        <v>45754</v>
      </c>
      <c r="C93" s="1"/>
      <c r="D93" s="1" t="s">
        <v>198</v>
      </c>
      <c r="E93" s="1">
        <v>25</v>
      </c>
      <c r="F93" s="1">
        <v>8983.1</v>
      </c>
      <c r="G93" s="1">
        <v>21</v>
      </c>
      <c r="H93" s="1">
        <v>10869.550999999999</v>
      </c>
      <c r="I93" s="1">
        <v>224577.5</v>
      </c>
    </row>
    <row r="94" spans="1:9" x14ac:dyDescent="0.3">
      <c r="A94" s="1" t="s">
        <v>196</v>
      </c>
      <c r="B94" s="2">
        <v>45754</v>
      </c>
      <c r="C94" s="1"/>
      <c r="D94" s="1" t="s">
        <v>172</v>
      </c>
      <c r="E94" s="1">
        <v>25</v>
      </c>
      <c r="F94" s="1">
        <v>7120.75</v>
      </c>
      <c r="G94" s="1">
        <v>21</v>
      </c>
      <c r="H94" s="1">
        <v>8616.1075000000001</v>
      </c>
      <c r="I94" s="1">
        <v>178018.75</v>
      </c>
    </row>
    <row r="95" spans="1:9" x14ac:dyDescent="0.3">
      <c r="A95" s="1" t="s">
        <v>193</v>
      </c>
      <c r="B95" s="2">
        <v>45755</v>
      </c>
      <c r="C95" s="1"/>
      <c r="D95" s="1" t="s">
        <v>47</v>
      </c>
      <c r="E95" s="1">
        <v>25</v>
      </c>
      <c r="F95" s="1">
        <v>6760.78</v>
      </c>
      <c r="G95" s="1">
        <v>21</v>
      </c>
      <c r="H95" s="1">
        <v>8180.5438000000004</v>
      </c>
      <c r="I95" s="1">
        <v>169019.5</v>
      </c>
    </row>
    <row r="96" spans="1:9" x14ac:dyDescent="0.3">
      <c r="A96" s="1" t="s">
        <v>193</v>
      </c>
      <c r="B96" s="2">
        <v>45755</v>
      </c>
      <c r="C96" s="1"/>
      <c r="D96" s="1" t="s">
        <v>30</v>
      </c>
      <c r="E96" s="1">
        <v>50</v>
      </c>
      <c r="F96" s="1">
        <v>7670.25</v>
      </c>
      <c r="G96" s="1">
        <v>21</v>
      </c>
      <c r="H96" s="1">
        <v>9281.0025000000005</v>
      </c>
      <c r="I96" s="1">
        <v>383512.5</v>
      </c>
    </row>
    <row r="97" spans="1:9" x14ac:dyDescent="0.3">
      <c r="A97" s="1" t="s">
        <v>193</v>
      </c>
      <c r="B97" s="2">
        <v>45755</v>
      </c>
      <c r="C97" s="1"/>
      <c r="D97" s="1" t="s">
        <v>50</v>
      </c>
      <c r="E97" s="1">
        <v>40</v>
      </c>
      <c r="F97" s="1">
        <v>10902.71</v>
      </c>
      <c r="G97" s="1">
        <v>21</v>
      </c>
      <c r="H97" s="1">
        <v>13192.2791</v>
      </c>
      <c r="I97" s="1">
        <v>436108.4</v>
      </c>
    </row>
    <row r="98" spans="1:9" x14ac:dyDescent="0.3">
      <c r="A98" s="1" t="s">
        <v>193</v>
      </c>
      <c r="B98" s="2">
        <v>45755</v>
      </c>
      <c r="C98" s="1"/>
      <c r="D98" s="1" t="s">
        <v>195</v>
      </c>
      <c r="E98" s="1">
        <v>25</v>
      </c>
      <c r="F98" s="1">
        <v>11209.52</v>
      </c>
      <c r="G98" s="1">
        <v>21</v>
      </c>
      <c r="H98" s="1">
        <v>13563.519200000001</v>
      </c>
      <c r="I98" s="1">
        <v>280238</v>
      </c>
    </row>
    <row r="99" spans="1:9" x14ac:dyDescent="0.3">
      <c r="A99" s="1" t="s">
        <v>189</v>
      </c>
      <c r="B99" s="2">
        <v>45756</v>
      </c>
      <c r="C99" s="1"/>
      <c r="D99" s="1" t="s">
        <v>59</v>
      </c>
      <c r="E99" s="1">
        <v>20</v>
      </c>
      <c r="F99" s="1">
        <v>11266.88</v>
      </c>
      <c r="G99" s="1">
        <v>21</v>
      </c>
      <c r="H99" s="1">
        <v>13632.924800000001</v>
      </c>
      <c r="I99" s="1">
        <v>225337.60000000001</v>
      </c>
    </row>
    <row r="100" spans="1:9" x14ac:dyDescent="0.3">
      <c r="A100" s="1" t="s">
        <v>189</v>
      </c>
      <c r="B100" s="2">
        <v>45756</v>
      </c>
      <c r="C100" s="1"/>
      <c r="D100" s="1" t="s">
        <v>62</v>
      </c>
      <c r="E100" s="1">
        <v>25</v>
      </c>
      <c r="F100" s="1">
        <v>7080.16</v>
      </c>
      <c r="G100" s="1">
        <v>21</v>
      </c>
      <c r="H100" s="1">
        <v>8566.9935999999998</v>
      </c>
      <c r="I100" s="1">
        <v>177004</v>
      </c>
    </row>
    <row r="101" spans="1:9" x14ac:dyDescent="0.3">
      <c r="A101" s="1" t="s">
        <v>190</v>
      </c>
      <c r="B101" s="2">
        <v>45756</v>
      </c>
      <c r="C101" s="1"/>
      <c r="D101" s="1" t="s">
        <v>192</v>
      </c>
      <c r="E101" s="1">
        <v>25</v>
      </c>
      <c r="F101" s="1">
        <v>8570.7199999999993</v>
      </c>
      <c r="G101" s="1">
        <v>21</v>
      </c>
      <c r="H101" s="1">
        <v>10370.5712</v>
      </c>
      <c r="I101" s="1">
        <v>214268</v>
      </c>
    </row>
    <row r="102" spans="1:9" x14ac:dyDescent="0.3">
      <c r="A102" s="1" t="s">
        <v>188</v>
      </c>
      <c r="B102" s="2">
        <v>45757</v>
      </c>
      <c r="C102" s="1"/>
      <c r="D102" s="1" t="s">
        <v>47</v>
      </c>
      <c r="E102" s="1">
        <v>50</v>
      </c>
      <c r="F102" s="1">
        <v>6765.41</v>
      </c>
      <c r="G102" s="1">
        <v>21</v>
      </c>
      <c r="H102" s="1">
        <v>8186.1460999999999</v>
      </c>
      <c r="I102" s="1">
        <v>338270.5</v>
      </c>
    </row>
    <row r="103" spans="1:9" x14ac:dyDescent="0.3">
      <c r="A103" s="1" t="s">
        <v>188</v>
      </c>
      <c r="B103" s="2">
        <v>45757</v>
      </c>
      <c r="C103" s="1"/>
      <c r="D103" s="1" t="s">
        <v>30</v>
      </c>
      <c r="E103" s="1">
        <v>125</v>
      </c>
      <c r="F103" s="1">
        <v>7675.5</v>
      </c>
      <c r="G103" s="1">
        <v>21</v>
      </c>
      <c r="H103" s="1">
        <v>9287.3549999999996</v>
      </c>
      <c r="I103" s="1">
        <v>959437.5</v>
      </c>
    </row>
    <row r="104" spans="1:9" x14ac:dyDescent="0.3">
      <c r="A104" s="1" t="s">
        <v>187</v>
      </c>
      <c r="B104" s="2">
        <v>45758</v>
      </c>
      <c r="C104" s="1"/>
      <c r="D104" s="1" t="s">
        <v>30</v>
      </c>
      <c r="E104" s="1">
        <v>50</v>
      </c>
      <c r="F104" s="1">
        <v>7677.25</v>
      </c>
      <c r="G104" s="1">
        <v>21</v>
      </c>
      <c r="H104" s="1">
        <v>9289.4724999999999</v>
      </c>
      <c r="I104" s="1">
        <v>383862.5</v>
      </c>
    </row>
    <row r="105" spans="1:9" x14ac:dyDescent="0.3">
      <c r="A105" s="1" t="s">
        <v>176</v>
      </c>
      <c r="B105" s="2">
        <v>45762</v>
      </c>
      <c r="C105" s="1"/>
      <c r="D105" s="1" t="s">
        <v>50</v>
      </c>
      <c r="E105" s="1">
        <v>40</v>
      </c>
      <c r="F105" s="1">
        <v>12238.5</v>
      </c>
      <c r="G105" s="1">
        <v>21</v>
      </c>
      <c r="H105" s="1">
        <v>14808.584999999999</v>
      </c>
      <c r="I105" s="1">
        <v>489540</v>
      </c>
    </row>
    <row r="106" spans="1:9" x14ac:dyDescent="0.3">
      <c r="A106" s="1" t="s">
        <v>176</v>
      </c>
      <c r="B106" s="2">
        <v>45762</v>
      </c>
      <c r="C106" s="1"/>
      <c r="D106" s="1" t="s">
        <v>32</v>
      </c>
      <c r="E106" s="1">
        <v>25</v>
      </c>
      <c r="F106" s="1">
        <v>9840</v>
      </c>
      <c r="G106" s="1">
        <v>21</v>
      </c>
      <c r="H106" s="1">
        <v>11906.4</v>
      </c>
      <c r="I106" s="1">
        <v>246000</v>
      </c>
    </row>
    <row r="107" spans="1:9" x14ac:dyDescent="0.3">
      <c r="A107" s="1" t="s">
        <v>177</v>
      </c>
      <c r="B107" s="2">
        <v>45762</v>
      </c>
      <c r="C107" s="1"/>
      <c r="D107" s="1" t="s">
        <v>30</v>
      </c>
      <c r="E107" s="1">
        <v>125</v>
      </c>
      <c r="F107" s="1">
        <v>8610</v>
      </c>
      <c r="G107" s="1">
        <v>21</v>
      </c>
      <c r="H107" s="1">
        <v>10418.1</v>
      </c>
      <c r="I107" s="1">
        <v>1076250</v>
      </c>
    </row>
    <row r="108" spans="1:9" x14ac:dyDescent="0.3">
      <c r="A108" s="1" t="s">
        <v>177</v>
      </c>
      <c r="B108" s="2">
        <v>45762</v>
      </c>
      <c r="C108" s="1"/>
      <c r="D108" s="1" t="s">
        <v>30</v>
      </c>
      <c r="E108" s="1">
        <v>50</v>
      </c>
      <c r="F108" s="1">
        <v>8610</v>
      </c>
      <c r="G108" s="1">
        <v>21</v>
      </c>
      <c r="H108" s="1">
        <v>10418.1</v>
      </c>
      <c r="I108" s="1">
        <v>430500</v>
      </c>
    </row>
    <row r="109" spans="1:9" x14ac:dyDescent="0.3">
      <c r="A109" s="1" t="s">
        <v>177</v>
      </c>
      <c r="B109" s="2">
        <v>45762</v>
      </c>
      <c r="C109" s="1"/>
      <c r="D109" s="1" t="s">
        <v>59</v>
      </c>
      <c r="E109" s="1">
        <v>20</v>
      </c>
      <c r="F109" s="1">
        <v>12644.4</v>
      </c>
      <c r="G109" s="1">
        <v>21</v>
      </c>
      <c r="H109" s="1">
        <v>15299.724</v>
      </c>
      <c r="I109" s="1">
        <v>252888</v>
      </c>
    </row>
    <row r="110" spans="1:9" x14ac:dyDescent="0.3">
      <c r="A110" s="1" t="s">
        <v>169</v>
      </c>
      <c r="B110" s="2">
        <v>45763</v>
      </c>
      <c r="C110" s="1"/>
      <c r="D110" s="1" t="s">
        <v>59</v>
      </c>
      <c r="E110" s="1">
        <v>20</v>
      </c>
      <c r="F110" s="1">
        <v>12644.4</v>
      </c>
      <c r="G110" s="1">
        <v>21</v>
      </c>
      <c r="H110" s="1">
        <v>15299.724</v>
      </c>
      <c r="I110" s="1">
        <v>252888</v>
      </c>
    </row>
    <row r="111" spans="1:9" x14ac:dyDescent="0.3">
      <c r="A111" s="1" t="s">
        <v>170</v>
      </c>
      <c r="B111" s="2">
        <v>45763</v>
      </c>
      <c r="C111" s="1"/>
      <c r="D111" s="1" t="s">
        <v>30</v>
      </c>
      <c r="E111" s="1">
        <v>100</v>
      </c>
      <c r="F111" s="1">
        <v>9225</v>
      </c>
      <c r="G111" s="1">
        <v>21</v>
      </c>
      <c r="H111" s="1">
        <v>11162.25</v>
      </c>
      <c r="I111" s="1">
        <v>922500</v>
      </c>
    </row>
    <row r="112" spans="1:9" x14ac:dyDescent="0.3">
      <c r="A112" s="1" t="s">
        <v>170</v>
      </c>
      <c r="B112" s="2">
        <v>45763</v>
      </c>
      <c r="C112" s="1"/>
      <c r="D112" s="1" t="s">
        <v>172</v>
      </c>
      <c r="E112" s="1">
        <v>100</v>
      </c>
      <c r="F112" s="1">
        <v>7995</v>
      </c>
      <c r="G112" s="1">
        <v>21</v>
      </c>
      <c r="H112" s="1">
        <v>9673.9500000000007</v>
      </c>
      <c r="I112" s="1">
        <v>799500</v>
      </c>
    </row>
    <row r="113" spans="1:9" x14ac:dyDescent="0.3">
      <c r="A113" s="1" t="s">
        <v>173</v>
      </c>
      <c r="B113" s="2">
        <v>45763</v>
      </c>
      <c r="C113" s="1"/>
      <c r="D113" s="1" t="s">
        <v>175</v>
      </c>
      <c r="E113" s="1">
        <v>1</v>
      </c>
      <c r="F113" s="1">
        <v>61500</v>
      </c>
      <c r="G113" s="1">
        <v>21</v>
      </c>
      <c r="H113" s="1">
        <v>74415</v>
      </c>
      <c r="I113" s="1">
        <v>61500</v>
      </c>
    </row>
    <row r="114" spans="1:9" x14ac:dyDescent="0.3">
      <c r="A114" s="1" t="s">
        <v>166</v>
      </c>
      <c r="B114" s="2">
        <v>45764</v>
      </c>
      <c r="C114" s="1"/>
      <c r="D114" s="1" t="s">
        <v>47</v>
      </c>
      <c r="E114" s="1">
        <v>25</v>
      </c>
      <c r="F114" s="1">
        <v>7157.2</v>
      </c>
      <c r="G114" s="1">
        <v>21</v>
      </c>
      <c r="H114" s="1">
        <v>8660.2119999999995</v>
      </c>
      <c r="I114" s="1">
        <v>178930</v>
      </c>
    </row>
    <row r="115" spans="1:9" x14ac:dyDescent="0.3">
      <c r="A115" s="1" t="s">
        <v>166</v>
      </c>
      <c r="B115" s="2">
        <v>45764</v>
      </c>
      <c r="C115" s="1"/>
      <c r="D115" s="1" t="s">
        <v>30</v>
      </c>
      <c r="E115" s="1">
        <v>50</v>
      </c>
      <c r="F115" s="1">
        <v>8120</v>
      </c>
      <c r="G115" s="1">
        <v>21</v>
      </c>
      <c r="H115" s="1">
        <v>9825.2000000000007</v>
      </c>
      <c r="I115" s="1">
        <v>406000</v>
      </c>
    </row>
    <row r="116" spans="1:9" x14ac:dyDescent="0.3">
      <c r="A116" s="1" t="s">
        <v>166</v>
      </c>
      <c r="B116" s="2">
        <v>45764</v>
      </c>
      <c r="C116" s="1"/>
      <c r="D116" s="1" t="s">
        <v>168</v>
      </c>
      <c r="E116" s="1">
        <v>10</v>
      </c>
      <c r="F116" s="1">
        <v>18560</v>
      </c>
      <c r="G116" s="1">
        <v>21</v>
      </c>
      <c r="H116" s="1">
        <v>22457.599999999999</v>
      </c>
      <c r="I116" s="1">
        <v>185600</v>
      </c>
    </row>
    <row r="117" spans="1:9" x14ac:dyDescent="0.3">
      <c r="A117" s="1" t="s">
        <v>166</v>
      </c>
      <c r="B117" s="2">
        <v>45764</v>
      </c>
      <c r="C117" s="1"/>
      <c r="D117" s="1" t="s">
        <v>32</v>
      </c>
      <c r="E117" s="1">
        <v>75</v>
      </c>
      <c r="F117" s="1">
        <v>9280</v>
      </c>
      <c r="G117" s="1">
        <v>21</v>
      </c>
      <c r="H117" s="1">
        <v>11228.8</v>
      </c>
      <c r="I117" s="1">
        <v>696000</v>
      </c>
    </row>
    <row r="118" spans="1:9" x14ac:dyDescent="0.3">
      <c r="A118" s="1" t="s">
        <v>165</v>
      </c>
      <c r="B118" s="2">
        <v>45768</v>
      </c>
      <c r="C118" s="1"/>
      <c r="D118" s="1" t="s">
        <v>59</v>
      </c>
      <c r="E118" s="1">
        <v>40</v>
      </c>
      <c r="F118" s="1">
        <v>11924.8</v>
      </c>
      <c r="G118" s="1">
        <v>21</v>
      </c>
      <c r="H118" s="1">
        <v>14429.008</v>
      </c>
      <c r="I118" s="1">
        <v>476992</v>
      </c>
    </row>
    <row r="119" spans="1:9" x14ac:dyDescent="0.3">
      <c r="A119" s="1" t="s">
        <v>165</v>
      </c>
      <c r="B119" s="2">
        <v>45768</v>
      </c>
      <c r="C119" s="1"/>
      <c r="D119" s="1" t="s">
        <v>62</v>
      </c>
      <c r="E119" s="1">
        <v>25</v>
      </c>
      <c r="F119" s="1">
        <v>7493.6</v>
      </c>
      <c r="G119" s="1">
        <v>21</v>
      </c>
      <c r="H119" s="1">
        <v>9067.2559999999994</v>
      </c>
      <c r="I119" s="1">
        <v>187340</v>
      </c>
    </row>
    <row r="120" spans="1:9" x14ac:dyDescent="0.3">
      <c r="A120" s="1" t="s">
        <v>161</v>
      </c>
      <c r="B120" s="2">
        <v>45769</v>
      </c>
      <c r="C120" s="1"/>
      <c r="D120" s="1" t="s">
        <v>47</v>
      </c>
      <c r="E120" s="1">
        <v>100</v>
      </c>
      <c r="F120" s="1">
        <v>6848.7</v>
      </c>
      <c r="G120" s="1">
        <v>21</v>
      </c>
      <c r="H120" s="1">
        <v>8286.9269999999997</v>
      </c>
      <c r="I120" s="1">
        <v>684870</v>
      </c>
    </row>
    <row r="121" spans="1:9" x14ac:dyDescent="0.3">
      <c r="A121" s="1" t="s">
        <v>161</v>
      </c>
      <c r="B121" s="2">
        <v>45769</v>
      </c>
      <c r="C121" s="1"/>
      <c r="D121" s="1" t="s">
        <v>30</v>
      </c>
      <c r="E121" s="1">
        <v>75</v>
      </c>
      <c r="F121" s="1">
        <v>7770</v>
      </c>
      <c r="G121" s="1">
        <v>21</v>
      </c>
      <c r="H121" s="1">
        <v>9401.7000000000007</v>
      </c>
      <c r="I121" s="1">
        <v>582750</v>
      </c>
    </row>
    <row r="122" spans="1:9" x14ac:dyDescent="0.3">
      <c r="A122" s="1" t="s">
        <v>160</v>
      </c>
      <c r="B122" s="2">
        <v>45770</v>
      </c>
      <c r="C122" s="1"/>
      <c r="D122" s="1" t="s">
        <v>50</v>
      </c>
      <c r="E122" s="1">
        <v>40</v>
      </c>
      <c r="F122" s="1">
        <v>11144</v>
      </c>
      <c r="G122" s="1">
        <v>21</v>
      </c>
      <c r="H122" s="1">
        <v>13484.24</v>
      </c>
      <c r="I122" s="1">
        <v>445760</v>
      </c>
    </row>
    <row r="123" spans="1:9" x14ac:dyDescent="0.3">
      <c r="A123" s="1" t="s">
        <v>159</v>
      </c>
      <c r="B123" s="2">
        <v>45771</v>
      </c>
      <c r="C123" s="1"/>
      <c r="D123" s="1" t="s">
        <v>47</v>
      </c>
      <c r="E123" s="1">
        <v>75</v>
      </c>
      <c r="F123" s="1">
        <v>7218.9</v>
      </c>
      <c r="G123" s="1">
        <v>21</v>
      </c>
      <c r="H123" s="1">
        <v>8734.8690000000006</v>
      </c>
      <c r="I123" s="1">
        <v>541417.5</v>
      </c>
    </row>
    <row r="124" spans="1:9" x14ac:dyDescent="0.3">
      <c r="A124" s="1" t="s">
        <v>159</v>
      </c>
      <c r="B124" s="2">
        <v>45771</v>
      </c>
      <c r="C124" s="1"/>
      <c r="D124" s="1" t="s">
        <v>30</v>
      </c>
      <c r="E124" s="1">
        <v>125</v>
      </c>
      <c r="F124" s="1">
        <v>7490</v>
      </c>
      <c r="G124" s="1">
        <v>21</v>
      </c>
      <c r="H124" s="1">
        <v>9062.9</v>
      </c>
      <c r="I124" s="1">
        <v>936250</v>
      </c>
    </row>
    <row r="125" spans="1:9" x14ac:dyDescent="0.3">
      <c r="A125" s="1" t="s">
        <v>156</v>
      </c>
      <c r="B125" s="2">
        <v>45772</v>
      </c>
      <c r="C125" s="1"/>
      <c r="D125" s="1" t="s">
        <v>30</v>
      </c>
      <c r="E125" s="1">
        <v>125</v>
      </c>
      <c r="F125" s="1">
        <v>8330</v>
      </c>
      <c r="G125" s="1">
        <v>21</v>
      </c>
      <c r="H125" s="1">
        <v>10079.299999999999</v>
      </c>
      <c r="I125" s="1">
        <v>1041250</v>
      </c>
    </row>
    <row r="126" spans="1:9" x14ac:dyDescent="0.3">
      <c r="A126" s="1" t="s">
        <v>156</v>
      </c>
      <c r="B126" s="2">
        <v>45772</v>
      </c>
      <c r="C126" s="1"/>
      <c r="D126" s="1" t="s">
        <v>158</v>
      </c>
      <c r="E126" s="1">
        <v>1</v>
      </c>
      <c r="F126" s="1">
        <v>10067.4</v>
      </c>
      <c r="G126" s="1">
        <v>21</v>
      </c>
      <c r="H126" s="1">
        <v>12181.554</v>
      </c>
      <c r="I126" s="1">
        <v>10067.4</v>
      </c>
    </row>
    <row r="127" spans="1:9" x14ac:dyDescent="0.3">
      <c r="A127" s="1" t="s">
        <v>156</v>
      </c>
      <c r="B127" s="2">
        <v>45772</v>
      </c>
      <c r="C127" s="1"/>
      <c r="D127" s="1" t="s">
        <v>111</v>
      </c>
      <c r="E127" s="1">
        <v>1</v>
      </c>
      <c r="F127" s="1">
        <v>104720</v>
      </c>
      <c r="G127" s="1">
        <v>21</v>
      </c>
      <c r="H127" s="1">
        <v>126711.2</v>
      </c>
      <c r="I127" s="1">
        <v>104720</v>
      </c>
    </row>
    <row r="128" spans="1:9" x14ac:dyDescent="0.3">
      <c r="A128" s="1" t="s">
        <v>155</v>
      </c>
      <c r="B128" s="2">
        <v>45775</v>
      </c>
      <c r="C128" s="1"/>
      <c r="D128" s="1" t="s">
        <v>30</v>
      </c>
      <c r="E128" s="1">
        <v>50</v>
      </c>
      <c r="F128" s="1">
        <v>8330</v>
      </c>
      <c r="G128" s="1">
        <v>21</v>
      </c>
      <c r="H128" s="1">
        <v>10079.299999999999</v>
      </c>
      <c r="I128" s="1">
        <v>416500</v>
      </c>
    </row>
    <row r="129" spans="1:9" x14ac:dyDescent="0.3">
      <c r="A129" s="1" t="s">
        <v>155</v>
      </c>
      <c r="B129" s="2">
        <v>45775</v>
      </c>
      <c r="C129" s="1"/>
      <c r="D129" s="1" t="s">
        <v>50</v>
      </c>
      <c r="E129" s="1">
        <v>40</v>
      </c>
      <c r="F129" s="1">
        <v>11840.5</v>
      </c>
      <c r="G129" s="1">
        <v>21</v>
      </c>
      <c r="H129" s="1">
        <v>14327.004999999999</v>
      </c>
      <c r="I129" s="1">
        <v>473620</v>
      </c>
    </row>
    <row r="130" spans="1:9" x14ac:dyDescent="0.3">
      <c r="A130" s="1" t="s">
        <v>154</v>
      </c>
      <c r="B130" s="2">
        <v>45776</v>
      </c>
      <c r="C130" s="1"/>
      <c r="D130" s="1" t="s">
        <v>47</v>
      </c>
      <c r="E130" s="1">
        <v>50</v>
      </c>
      <c r="F130" s="1">
        <v>7342.3</v>
      </c>
      <c r="G130" s="1">
        <v>21</v>
      </c>
      <c r="H130" s="1">
        <v>8884.1830000000009</v>
      </c>
      <c r="I130" s="1">
        <v>367115</v>
      </c>
    </row>
    <row r="131" spans="1:9" x14ac:dyDescent="0.3">
      <c r="A131" s="1" t="s">
        <v>154</v>
      </c>
      <c r="B131" s="2">
        <v>45776</v>
      </c>
      <c r="C131" s="1"/>
      <c r="D131" s="1" t="s">
        <v>30</v>
      </c>
      <c r="E131" s="1">
        <v>125</v>
      </c>
      <c r="F131" s="1">
        <v>8330</v>
      </c>
      <c r="G131" s="1">
        <v>21</v>
      </c>
      <c r="H131" s="1">
        <v>10079.299999999999</v>
      </c>
      <c r="I131" s="1">
        <v>1041250</v>
      </c>
    </row>
    <row r="132" spans="1:9" x14ac:dyDescent="0.3">
      <c r="A132" s="1" t="s">
        <v>209</v>
      </c>
      <c r="B132" s="2">
        <v>45779</v>
      </c>
      <c r="C132" s="1"/>
      <c r="D132" s="1" t="s">
        <v>30</v>
      </c>
      <c r="E132" s="1">
        <v>250</v>
      </c>
      <c r="F132" s="1">
        <v>8260</v>
      </c>
      <c r="G132" s="1">
        <v>21</v>
      </c>
      <c r="H132" s="1">
        <v>9994.6</v>
      </c>
      <c r="I132" s="1">
        <v>2065000</v>
      </c>
    </row>
    <row r="133" spans="1:9" x14ac:dyDescent="0.3">
      <c r="A133" s="1" t="s">
        <v>209</v>
      </c>
      <c r="B133" s="2">
        <v>45779</v>
      </c>
      <c r="C133" s="1"/>
      <c r="D133" s="1" t="s">
        <v>62</v>
      </c>
      <c r="E133" s="1">
        <v>25</v>
      </c>
      <c r="F133" s="1">
        <v>7622.8</v>
      </c>
      <c r="G133" s="1">
        <v>21</v>
      </c>
      <c r="H133" s="1">
        <v>9223.5879999999997</v>
      </c>
      <c r="I133" s="1">
        <v>190570</v>
      </c>
    </row>
    <row r="134" spans="1:9" x14ac:dyDescent="0.3">
      <c r="A134" s="1" t="s">
        <v>209</v>
      </c>
      <c r="B134" s="2">
        <v>45779</v>
      </c>
      <c r="C134" s="1"/>
      <c r="D134" s="1" t="s">
        <v>130</v>
      </c>
      <c r="E134" s="1">
        <v>25</v>
      </c>
      <c r="F134" s="1">
        <v>10596.4</v>
      </c>
      <c r="G134" s="1">
        <v>21</v>
      </c>
      <c r="H134" s="1">
        <v>12821.644</v>
      </c>
      <c r="I134" s="1">
        <v>264910</v>
      </c>
    </row>
    <row r="135" spans="1:9" x14ac:dyDescent="0.3">
      <c r="A135" s="1" t="s">
        <v>209</v>
      </c>
      <c r="B135" s="2">
        <v>45779</v>
      </c>
      <c r="C135" s="1"/>
      <c r="D135" s="1" t="s">
        <v>78</v>
      </c>
      <c r="E135" s="1">
        <v>50</v>
      </c>
      <c r="F135" s="1">
        <v>11965.2</v>
      </c>
      <c r="G135" s="1">
        <v>21</v>
      </c>
      <c r="H135" s="1">
        <v>14477.892</v>
      </c>
      <c r="I135" s="1">
        <v>598260</v>
      </c>
    </row>
    <row r="136" spans="1:9" x14ac:dyDescent="0.3">
      <c r="A136" s="1" t="s">
        <v>210</v>
      </c>
      <c r="B136" s="2">
        <v>45782</v>
      </c>
      <c r="C136" s="1"/>
      <c r="D136" s="1" t="s">
        <v>59</v>
      </c>
      <c r="E136" s="1">
        <v>20</v>
      </c>
      <c r="F136" s="1">
        <v>12233.2</v>
      </c>
      <c r="G136" s="1">
        <v>21</v>
      </c>
      <c r="H136" s="1">
        <v>14802.172</v>
      </c>
      <c r="I136" s="1">
        <v>244664</v>
      </c>
    </row>
    <row r="137" spans="1:9" x14ac:dyDescent="0.3">
      <c r="A137" s="1" t="s">
        <v>211</v>
      </c>
      <c r="B137" s="2">
        <v>45782</v>
      </c>
      <c r="C137" s="1"/>
      <c r="D137" s="1" t="s">
        <v>30</v>
      </c>
      <c r="E137" s="1">
        <v>50</v>
      </c>
      <c r="F137" s="1">
        <v>8330</v>
      </c>
      <c r="G137" s="1">
        <v>21</v>
      </c>
      <c r="H137" s="1">
        <v>10079.299999999999</v>
      </c>
      <c r="I137" s="1">
        <v>416500</v>
      </c>
    </row>
    <row r="138" spans="1:9" x14ac:dyDescent="0.3">
      <c r="A138" s="1" t="s">
        <v>211</v>
      </c>
      <c r="B138" s="2">
        <v>45782</v>
      </c>
      <c r="C138" s="1"/>
      <c r="D138" s="1" t="s">
        <v>34</v>
      </c>
      <c r="E138" s="1">
        <v>100</v>
      </c>
      <c r="F138" s="1">
        <v>10353</v>
      </c>
      <c r="G138" s="1">
        <v>21</v>
      </c>
      <c r="H138" s="1">
        <v>12527.13</v>
      </c>
      <c r="I138" s="1">
        <v>1035300</v>
      </c>
    </row>
    <row r="139" spans="1:9" x14ac:dyDescent="0.3">
      <c r="A139" s="1" t="s">
        <v>212</v>
      </c>
      <c r="B139" s="2">
        <v>45783</v>
      </c>
      <c r="C139" s="1"/>
      <c r="D139" s="1" t="s">
        <v>47</v>
      </c>
      <c r="E139" s="1">
        <v>50</v>
      </c>
      <c r="F139" s="1">
        <v>7465.7</v>
      </c>
      <c r="G139" s="1">
        <v>21</v>
      </c>
      <c r="H139" s="1">
        <v>9033.4969999999994</v>
      </c>
      <c r="I139" s="1">
        <v>373285</v>
      </c>
    </row>
    <row r="140" spans="1:9" x14ac:dyDescent="0.3">
      <c r="A140" s="1" t="s">
        <v>212</v>
      </c>
      <c r="B140" s="2">
        <v>45783</v>
      </c>
      <c r="C140" s="1"/>
      <c r="D140" s="1" t="s">
        <v>50</v>
      </c>
      <c r="E140" s="1">
        <v>40</v>
      </c>
      <c r="F140" s="1">
        <v>12039.5</v>
      </c>
      <c r="G140" s="1">
        <v>21</v>
      </c>
      <c r="H140" s="1">
        <v>14567.795</v>
      </c>
      <c r="I140" s="1">
        <v>481580</v>
      </c>
    </row>
    <row r="141" spans="1:9" x14ac:dyDescent="0.3">
      <c r="A141" s="1" t="s">
        <v>212</v>
      </c>
      <c r="B141" s="2">
        <v>45783</v>
      </c>
      <c r="C141" s="1"/>
      <c r="D141" s="1" t="s">
        <v>34</v>
      </c>
      <c r="E141" s="1">
        <v>25</v>
      </c>
      <c r="F141" s="1">
        <v>10527</v>
      </c>
      <c r="G141" s="1">
        <v>21</v>
      </c>
      <c r="H141" s="1">
        <v>12737.67</v>
      </c>
      <c r="I141" s="1">
        <v>263175</v>
      </c>
    </row>
    <row r="142" spans="1:9" x14ac:dyDescent="0.3">
      <c r="A142" s="1" t="s">
        <v>213</v>
      </c>
      <c r="B142" s="2">
        <v>45784</v>
      </c>
      <c r="C142" s="1"/>
      <c r="D142" s="1" t="s">
        <v>30</v>
      </c>
      <c r="E142" s="1">
        <v>50</v>
      </c>
      <c r="F142" s="1">
        <v>8505</v>
      </c>
      <c r="G142" s="1">
        <v>21</v>
      </c>
      <c r="H142" s="1">
        <v>10291.049999999999</v>
      </c>
      <c r="I142" s="1">
        <v>425250</v>
      </c>
    </row>
    <row r="143" spans="1:9" x14ac:dyDescent="0.3">
      <c r="A143" s="1" t="s">
        <v>213</v>
      </c>
      <c r="B143" s="2">
        <v>45784</v>
      </c>
      <c r="C143" s="1"/>
      <c r="D143" s="1" t="s">
        <v>32</v>
      </c>
      <c r="E143" s="1">
        <v>50</v>
      </c>
      <c r="F143" s="1">
        <v>9720</v>
      </c>
      <c r="G143" s="1">
        <v>21</v>
      </c>
      <c r="H143" s="1">
        <v>11761.2</v>
      </c>
      <c r="I143" s="1">
        <v>486000</v>
      </c>
    </row>
    <row r="144" spans="1:9" x14ac:dyDescent="0.3">
      <c r="A144" s="1" t="s">
        <v>214</v>
      </c>
      <c r="B144" s="2">
        <v>45785</v>
      </c>
      <c r="C144" s="1"/>
      <c r="D144" s="1" t="s">
        <v>47</v>
      </c>
      <c r="E144" s="1">
        <v>25</v>
      </c>
      <c r="F144" s="1">
        <v>7033.8</v>
      </c>
      <c r="G144" s="1">
        <v>21</v>
      </c>
      <c r="H144" s="1">
        <v>8510.8979999999992</v>
      </c>
      <c r="I144" s="1">
        <v>175845</v>
      </c>
    </row>
    <row r="145" spans="1:9" x14ac:dyDescent="0.3">
      <c r="A145" s="1" t="s">
        <v>214</v>
      </c>
      <c r="B145" s="2">
        <v>45785</v>
      </c>
      <c r="C145" s="1"/>
      <c r="D145" s="1" t="s">
        <v>30</v>
      </c>
      <c r="E145" s="1">
        <v>100</v>
      </c>
      <c r="F145" s="1">
        <v>7980</v>
      </c>
      <c r="G145" s="1">
        <v>21</v>
      </c>
      <c r="H145" s="1">
        <v>9655.7999999999993</v>
      </c>
      <c r="I145" s="1">
        <v>798000</v>
      </c>
    </row>
    <row r="146" spans="1:9" x14ac:dyDescent="0.3">
      <c r="A146" s="1" t="s">
        <v>215</v>
      </c>
      <c r="B146" s="2">
        <v>45786</v>
      </c>
      <c r="C146" s="1"/>
      <c r="D146" s="1" t="s">
        <v>47</v>
      </c>
      <c r="E146" s="1">
        <v>75</v>
      </c>
      <c r="F146" s="1">
        <v>6972.1</v>
      </c>
      <c r="G146" s="1">
        <v>21</v>
      </c>
      <c r="H146" s="1">
        <v>8436.241</v>
      </c>
      <c r="I146" s="1">
        <v>522907.5</v>
      </c>
    </row>
    <row r="147" spans="1:9" x14ac:dyDescent="0.3">
      <c r="A147" s="1" t="s">
        <v>215</v>
      </c>
      <c r="B147" s="2">
        <v>45786</v>
      </c>
      <c r="C147" s="1"/>
      <c r="D147" s="1" t="s">
        <v>59</v>
      </c>
      <c r="E147" s="1">
        <v>20</v>
      </c>
      <c r="F147" s="1">
        <v>11616.4</v>
      </c>
      <c r="G147" s="1">
        <v>21</v>
      </c>
      <c r="H147" s="1">
        <v>14055.843999999999</v>
      </c>
      <c r="I147" s="1">
        <v>232328</v>
      </c>
    </row>
    <row r="148" spans="1:9" x14ac:dyDescent="0.3">
      <c r="A148" s="1" t="s">
        <v>216</v>
      </c>
      <c r="B148" s="2">
        <v>45789</v>
      </c>
      <c r="C148" s="1"/>
      <c r="D148" s="1" t="s">
        <v>47</v>
      </c>
      <c r="E148" s="1">
        <v>75</v>
      </c>
      <c r="F148" s="1">
        <v>7095.5</v>
      </c>
      <c r="G148" s="1">
        <v>21</v>
      </c>
      <c r="H148" s="1">
        <v>8585.5550000000003</v>
      </c>
      <c r="I148" s="1">
        <v>532162.5</v>
      </c>
    </row>
    <row r="149" spans="1:9" x14ac:dyDescent="0.3">
      <c r="A149" s="1" t="s">
        <v>216</v>
      </c>
      <c r="B149" s="2">
        <v>45789</v>
      </c>
      <c r="C149" s="1"/>
      <c r="D149" s="1" t="s">
        <v>30</v>
      </c>
      <c r="E149" s="1">
        <v>75</v>
      </c>
      <c r="F149" s="1">
        <v>8050</v>
      </c>
      <c r="G149" s="1">
        <v>21</v>
      </c>
      <c r="H149" s="1">
        <v>9740.5</v>
      </c>
      <c r="I149" s="1">
        <v>603750</v>
      </c>
    </row>
    <row r="150" spans="1:9" x14ac:dyDescent="0.3">
      <c r="A150" s="1" t="s">
        <v>216</v>
      </c>
      <c r="B150" s="2">
        <v>45789</v>
      </c>
      <c r="C150" s="1"/>
      <c r="D150" s="1" t="s">
        <v>62</v>
      </c>
      <c r="E150" s="1">
        <v>25</v>
      </c>
      <c r="F150" s="1">
        <v>7429</v>
      </c>
      <c r="G150" s="1">
        <v>21</v>
      </c>
      <c r="H150" s="1">
        <v>8989.09</v>
      </c>
      <c r="I150" s="1">
        <v>185725</v>
      </c>
    </row>
    <row r="151" spans="1:9" x14ac:dyDescent="0.3">
      <c r="A151" s="1" t="s">
        <v>216</v>
      </c>
      <c r="B151" s="2">
        <v>45789</v>
      </c>
      <c r="C151" s="1"/>
      <c r="D151" s="1" t="s">
        <v>172</v>
      </c>
      <c r="E151" s="1">
        <v>50</v>
      </c>
      <c r="F151" s="1">
        <v>7475</v>
      </c>
      <c r="G151" s="1">
        <v>21</v>
      </c>
      <c r="H151" s="1">
        <v>9044.75</v>
      </c>
      <c r="I151" s="1">
        <v>373750</v>
      </c>
    </row>
    <row r="152" spans="1:9" x14ac:dyDescent="0.3">
      <c r="A152" s="1" t="s">
        <v>217</v>
      </c>
      <c r="B152" s="2">
        <v>45790</v>
      </c>
      <c r="C152" s="1"/>
      <c r="D152" s="1" t="s">
        <v>47</v>
      </c>
      <c r="E152" s="1">
        <v>85</v>
      </c>
      <c r="F152" s="1">
        <v>7095.5</v>
      </c>
      <c r="G152" s="1">
        <v>21</v>
      </c>
      <c r="H152" s="1">
        <v>8585.5550000000003</v>
      </c>
      <c r="I152" s="1">
        <v>603117.5</v>
      </c>
    </row>
    <row r="153" spans="1:9" x14ac:dyDescent="0.3">
      <c r="A153" s="1" t="s">
        <v>218</v>
      </c>
      <c r="B153" s="2">
        <v>45790</v>
      </c>
      <c r="C153" s="1"/>
      <c r="D153" s="1" t="s">
        <v>47</v>
      </c>
      <c r="E153" s="1">
        <v>100</v>
      </c>
      <c r="F153" s="1">
        <v>7095.5</v>
      </c>
      <c r="G153" s="1">
        <v>21</v>
      </c>
      <c r="H153" s="1">
        <v>8585.5550000000003</v>
      </c>
      <c r="I153" s="1">
        <v>709550</v>
      </c>
    </row>
    <row r="154" spans="1:9" x14ac:dyDescent="0.3">
      <c r="A154" s="1" t="s">
        <v>219</v>
      </c>
      <c r="B154" s="2">
        <v>45791</v>
      </c>
      <c r="C154" s="1"/>
      <c r="D154" s="1" t="s">
        <v>30</v>
      </c>
      <c r="E154" s="1">
        <v>75</v>
      </c>
      <c r="F154" s="1">
        <v>8050</v>
      </c>
      <c r="G154" s="1">
        <v>21</v>
      </c>
      <c r="H154" s="1">
        <v>9740.5</v>
      </c>
      <c r="I154" s="1">
        <v>603750</v>
      </c>
    </row>
    <row r="155" spans="1:9" x14ac:dyDescent="0.3">
      <c r="A155" s="1" t="s">
        <v>219</v>
      </c>
      <c r="B155" s="2">
        <v>45791</v>
      </c>
      <c r="C155" s="1"/>
      <c r="D155" s="1" t="s">
        <v>59</v>
      </c>
      <c r="E155" s="1">
        <v>20</v>
      </c>
      <c r="F155" s="1">
        <v>11822</v>
      </c>
      <c r="G155" s="1">
        <v>21</v>
      </c>
      <c r="H155" s="1">
        <v>14304.62</v>
      </c>
      <c r="I155" s="1">
        <v>236440</v>
      </c>
    </row>
    <row r="156" spans="1:9" x14ac:dyDescent="0.3">
      <c r="A156" s="1" t="s">
        <v>219</v>
      </c>
      <c r="B156" s="2">
        <v>45791</v>
      </c>
      <c r="C156" s="1"/>
      <c r="D156" s="1" t="s">
        <v>34</v>
      </c>
      <c r="E156" s="1">
        <v>50</v>
      </c>
      <c r="F156" s="1">
        <v>10005</v>
      </c>
      <c r="G156" s="1">
        <v>21</v>
      </c>
      <c r="H156" s="1">
        <v>12106.05</v>
      </c>
      <c r="I156" s="1">
        <v>500250</v>
      </c>
    </row>
    <row r="157" spans="1:9" x14ac:dyDescent="0.3">
      <c r="A157" s="1" t="s">
        <v>220</v>
      </c>
      <c r="B157" s="2">
        <v>45793</v>
      </c>
      <c r="C157" s="1"/>
      <c r="D157" s="1" t="s">
        <v>50</v>
      </c>
      <c r="E157" s="1">
        <v>40</v>
      </c>
      <c r="F157" s="1">
        <v>11442.5</v>
      </c>
      <c r="G157" s="1">
        <v>21</v>
      </c>
      <c r="H157" s="1">
        <v>13845.424999999999</v>
      </c>
      <c r="I157" s="1">
        <v>457700</v>
      </c>
    </row>
    <row r="158" spans="1:9" x14ac:dyDescent="0.3">
      <c r="A158" s="1" t="s">
        <v>221</v>
      </c>
      <c r="B158" s="2">
        <v>45793</v>
      </c>
      <c r="C158" s="1"/>
      <c r="D158" s="1" t="s">
        <v>47</v>
      </c>
      <c r="E158" s="1">
        <v>50</v>
      </c>
      <c r="F158" s="1">
        <v>7095.5</v>
      </c>
      <c r="G158" s="1">
        <v>21</v>
      </c>
      <c r="H158" s="1">
        <v>8585.5550000000003</v>
      </c>
      <c r="I158" s="1">
        <v>354775</v>
      </c>
    </row>
    <row r="159" spans="1:9" x14ac:dyDescent="0.3">
      <c r="A159" s="1" t="s">
        <v>221</v>
      </c>
      <c r="B159" s="2">
        <v>45793</v>
      </c>
      <c r="C159" s="1"/>
      <c r="D159" s="1" t="s">
        <v>59</v>
      </c>
      <c r="E159" s="1">
        <v>20</v>
      </c>
      <c r="F159" s="1">
        <v>11822</v>
      </c>
      <c r="G159" s="1">
        <v>21</v>
      </c>
      <c r="H159" s="1">
        <v>14304.62</v>
      </c>
      <c r="I159" s="1">
        <v>236440</v>
      </c>
    </row>
    <row r="160" spans="1:9" x14ac:dyDescent="0.3">
      <c r="A160" s="1" t="s">
        <v>221</v>
      </c>
      <c r="B160" s="2">
        <v>45793</v>
      </c>
      <c r="C160" s="1"/>
      <c r="D160" s="1" t="s">
        <v>172</v>
      </c>
      <c r="E160" s="1">
        <v>100</v>
      </c>
      <c r="F160" s="1">
        <v>7475</v>
      </c>
      <c r="G160" s="1">
        <v>21</v>
      </c>
      <c r="H160" s="1">
        <v>9044.75</v>
      </c>
      <c r="I160" s="1">
        <v>747500</v>
      </c>
    </row>
    <row r="161" spans="1:9" x14ac:dyDescent="0.3">
      <c r="A161" s="1" t="s">
        <v>222</v>
      </c>
      <c r="B161" s="2">
        <v>45796</v>
      </c>
      <c r="C161" s="1"/>
      <c r="D161" s="1" t="s">
        <v>30</v>
      </c>
      <c r="E161" s="1">
        <v>150</v>
      </c>
      <c r="F161" s="1">
        <v>7590</v>
      </c>
      <c r="G161" s="1">
        <v>21</v>
      </c>
      <c r="H161" s="1">
        <v>9183.9</v>
      </c>
      <c r="I161" s="1">
        <v>1138500</v>
      </c>
    </row>
    <row r="162" spans="1:9" x14ac:dyDescent="0.3">
      <c r="A162" s="1" t="s">
        <v>222</v>
      </c>
      <c r="B162" s="2">
        <v>45796</v>
      </c>
      <c r="C162" s="1"/>
      <c r="D162" s="1" t="s">
        <v>130</v>
      </c>
      <c r="E162" s="1">
        <v>50</v>
      </c>
      <c r="F162" s="1">
        <v>10327</v>
      </c>
      <c r="G162" s="1">
        <v>21</v>
      </c>
      <c r="H162" s="1">
        <v>12495.67</v>
      </c>
      <c r="I162" s="1">
        <v>516350</v>
      </c>
    </row>
    <row r="163" spans="1:9" x14ac:dyDescent="0.3">
      <c r="A163" s="1" t="s">
        <v>223</v>
      </c>
      <c r="B163" s="2">
        <v>45797</v>
      </c>
      <c r="C163" s="1"/>
      <c r="D163" s="1" t="s">
        <v>30</v>
      </c>
      <c r="E163" s="1">
        <v>75</v>
      </c>
      <c r="F163" s="1">
        <v>7623</v>
      </c>
      <c r="G163" s="1">
        <v>21</v>
      </c>
      <c r="H163" s="1">
        <v>9223.83</v>
      </c>
      <c r="I163" s="1">
        <v>571725</v>
      </c>
    </row>
    <row r="164" spans="1:9" x14ac:dyDescent="0.3">
      <c r="A164" s="1" t="s">
        <v>223</v>
      </c>
      <c r="B164" s="2">
        <v>45797</v>
      </c>
      <c r="C164" s="1"/>
      <c r="D164" s="1" t="s">
        <v>50</v>
      </c>
      <c r="E164" s="1">
        <v>20</v>
      </c>
      <c r="F164" s="1">
        <v>11492.25</v>
      </c>
      <c r="G164" s="1">
        <v>21</v>
      </c>
      <c r="H164" s="1">
        <v>13905.622499999999</v>
      </c>
      <c r="I164" s="1">
        <v>229845</v>
      </c>
    </row>
    <row r="165" spans="1:9" x14ac:dyDescent="0.3">
      <c r="A165" s="1" t="s">
        <v>223</v>
      </c>
      <c r="B165" s="2">
        <v>45797</v>
      </c>
      <c r="C165" s="1"/>
      <c r="D165" s="1" t="s">
        <v>62</v>
      </c>
      <c r="E165" s="1">
        <v>25</v>
      </c>
      <c r="F165" s="1">
        <v>7461.3</v>
      </c>
      <c r="G165" s="1">
        <v>21</v>
      </c>
      <c r="H165" s="1">
        <v>9028.1730000000007</v>
      </c>
      <c r="I165" s="1">
        <v>186532.5</v>
      </c>
    </row>
    <row r="166" spans="1:9" x14ac:dyDescent="0.3">
      <c r="A166" s="1" t="s">
        <v>224</v>
      </c>
      <c r="B166" s="2">
        <v>45798</v>
      </c>
      <c r="C166" s="1"/>
      <c r="D166" s="1" t="s">
        <v>32</v>
      </c>
      <c r="E166" s="1">
        <v>25</v>
      </c>
      <c r="F166" s="1">
        <v>9280</v>
      </c>
      <c r="G166" s="1">
        <v>21</v>
      </c>
      <c r="H166" s="1">
        <v>11228.8</v>
      </c>
      <c r="I166" s="1">
        <v>232000</v>
      </c>
    </row>
    <row r="167" spans="1:9" x14ac:dyDescent="0.3">
      <c r="A167" s="1" t="s">
        <v>225</v>
      </c>
      <c r="B167" s="2">
        <v>45799</v>
      </c>
      <c r="C167" s="1"/>
      <c r="D167" s="1" t="s">
        <v>50</v>
      </c>
      <c r="E167" s="1">
        <v>20</v>
      </c>
      <c r="F167" s="1">
        <v>11542</v>
      </c>
      <c r="G167" s="1">
        <v>21</v>
      </c>
      <c r="H167" s="1">
        <v>13965.82</v>
      </c>
      <c r="I167" s="1">
        <v>230840</v>
      </c>
    </row>
    <row r="168" spans="1:9" x14ac:dyDescent="0.3">
      <c r="A168" s="1" t="s">
        <v>225</v>
      </c>
      <c r="B168" s="2">
        <v>45799</v>
      </c>
      <c r="C168" s="1"/>
      <c r="D168" s="1" t="s">
        <v>59</v>
      </c>
      <c r="E168" s="1">
        <v>20</v>
      </c>
      <c r="F168" s="1">
        <v>11924.8</v>
      </c>
      <c r="G168" s="1">
        <v>21</v>
      </c>
      <c r="H168" s="1">
        <v>14429.008</v>
      </c>
      <c r="I168" s="1">
        <v>238496</v>
      </c>
    </row>
    <row r="169" spans="1:9" x14ac:dyDescent="0.3">
      <c r="A169" s="1" t="s">
        <v>226</v>
      </c>
      <c r="B169" s="2">
        <v>45800</v>
      </c>
      <c r="C169" s="1"/>
      <c r="D169" s="1" t="s">
        <v>192</v>
      </c>
      <c r="E169" s="1">
        <v>25</v>
      </c>
      <c r="F169" s="1">
        <v>9032.1</v>
      </c>
      <c r="G169" s="1">
        <v>21</v>
      </c>
      <c r="H169" s="1">
        <v>10928.841</v>
      </c>
      <c r="I169" s="1">
        <v>225802.5</v>
      </c>
    </row>
    <row r="170" spans="1:9" x14ac:dyDescent="0.3">
      <c r="A170" s="1" t="s">
        <v>227</v>
      </c>
      <c r="B170" s="2">
        <v>45803</v>
      </c>
      <c r="C170" s="1"/>
      <c r="D170" s="1" t="s">
        <v>47</v>
      </c>
      <c r="E170" s="1">
        <v>75</v>
      </c>
      <c r="F170" s="1">
        <v>7095.5</v>
      </c>
      <c r="G170" s="1">
        <v>21</v>
      </c>
      <c r="H170" s="1">
        <v>8585.5550000000003</v>
      </c>
      <c r="I170" s="1">
        <v>532162.5</v>
      </c>
    </row>
    <row r="171" spans="1:9" x14ac:dyDescent="0.3">
      <c r="A171" s="1" t="s">
        <v>227</v>
      </c>
      <c r="B171" s="2">
        <v>45803</v>
      </c>
      <c r="C171" s="1"/>
      <c r="D171" s="1" t="s">
        <v>30</v>
      </c>
      <c r="E171" s="1">
        <v>250</v>
      </c>
      <c r="F171" s="1">
        <v>7590</v>
      </c>
      <c r="G171" s="1">
        <v>21</v>
      </c>
      <c r="H171" s="1">
        <v>9183.9</v>
      </c>
      <c r="I171" s="1">
        <v>1897500</v>
      </c>
    </row>
    <row r="172" spans="1:9" x14ac:dyDescent="0.3">
      <c r="A172" s="1" t="s">
        <v>227</v>
      </c>
      <c r="B172" s="2">
        <v>45803</v>
      </c>
      <c r="C172" s="1"/>
      <c r="D172" s="1" t="s">
        <v>62</v>
      </c>
      <c r="E172" s="1">
        <v>25</v>
      </c>
      <c r="F172" s="1">
        <v>7429</v>
      </c>
      <c r="G172" s="1">
        <v>21</v>
      </c>
      <c r="H172" s="1">
        <v>8989.09</v>
      </c>
      <c r="I172" s="1">
        <v>185725</v>
      </c>
    </row>
    <row r="173" spans="1:9" x14ac:dyDescent="0.3">
      <c r="A173" s="1" t="s">
        <v>228</v>
      </c>
      <c r="B173" s="2">
        <v>45804</v>
      </c>
      <c r="C173" s="1"/>
      <c r="D173" s="1" t="s">
        <v>76</v>
      </c>
      <c r="E173" s="1">
        <v>20</v>
      </c>
      <c r="F173" s="1">
        <v>21610.799999999999</v>
      </c>
      <c r="G173" s="1">
        <v>21</v>
      </c>
      <c r="H173" s="1">
        <v>26149.067999999999</v>
      </c>
      <c r="I173" s="1">
        <v>432216</v>
      </c>
    </row>
    <row r="174" spans="1:9" x14ac:dyDescent="0.3">
      <c r="A174" s="1" t="s">
        <v>228</v>
      </c>
      <c r="B174" s="2">
        <v>45804</v>
      </c>
      <c r="C174" s="1"/>
      <c r="D174" s="1" t="s">
        <v>192</v>
      </c>
      <c r="E174" s="1">
        <v>25</v>
      </c>
      <c r="F174" s="1">
        <v>9071.2000000000007</v>
      </c>
      <c r="G174" s="1">
        <v>21</v>
      </c>
      <c r="H174" s="1">
        <v>10976.152</v>
      </c>
      <c r="I174" s="1">
        <v>226780</v>
      </c>
    </row>
    <row r="175" spans="1:9" x14ac:dyDescent="0.3">
      <c r="A175" s="1" t="s">
        <v>229</v>
      </c>
      <c r="B175" s="2">
        <v>45805</v>
      </c>
      <c r="C175" s="1"/>
      <c r="D175" s="1" t="s">
        <v>30</v>
      </c>
      <c r="E175" s="1">
        <v>125</v>
      </c>
      <c r="F175" s="1">
        <v>7722</v>
      </c>
      <c r="G175" s="1">
        <v>21</v>
      </c>
      <c r="H175" s="1">
        <v>9343.6200000000008</v>
      </c>
      <c r="I175" s="1">
        <v>965250</v>
      </c>
    </row>
    <row r="176" spans="1:9" x14ac:dyDescent="0.3">
      <c r="A176" s="1" t="s">
        <v>230</v>
      </c>
      <c r="B176" s="2">
        <v>45807</v>
      </c>
      <c r="C176" s="1"/>
      <c r="D176" s="1" t="s">
        <v>30</v>
      </c>
      <c r="E176" s="1">
        <v>50</v>
      </c>
      <c r="F176" s="1">
        <v>7887</v>
      </c>
      <c r="G176" s="1">
        <v>21</v>
      </c>
      <c r="H176" s="1">
        <v>9543.27</v>
      </c>
      <c r="I176" s="1">
        <v>394350</v>
      </c>
    </row>
    <row r="177" spans="1:9" x14ac:dyDescent="0.3">
      <c r="A177" s="1" t="s">
        <v>230</v>
      </c>
      <c r="B177" s="2">
        <v>45807</v>
      </c>
      <c r="C177" s="1"/>
      <c r="D177" s="1" t="s">
        <v>59</v>
      </c>
      <c r="E177" s="1">
        <v>20</v>
      </c>
      <c r="F177" s="1">
        <v>12284.6</v>
      </c>
      <c r="G177" s="1">
        <v>21</v>
      </c>
      <c r="H177" s="1">
        <v>14864.366</v>
      </c>
      <c r="I177" s="1">
        <v>245692</v>
      </c>
    </row>
    <row r="178" spans="1:9" x14ac:dyDescent="0.3">
      <c r="A178" s="1" t="s">
        <v>231</v>
      </c>
      <c r="B178" s="2">
        <v>45810</v>
      </c>
      <c r="C178" s="1" t="s">
        <v>232</v>
      </c>
      <c r="D178" s="1" t="s">
        <v>30</v>
      </c>
      <c r="E178" s="1">
        <v>25</v>
      </c>
      <c r="F178" s="1">
        <v>7920</v>
      </c>
      <c r="G178" s="1">
        <v>21</v>
      </c>
      <c r="H178" s="1">
        <v>9583.2000000000007</v>
      </c>
      <c r="I178" s="1">
        <v>198000</v>
      </c>
    </row>
    <row r="179" spans="1:9" x14ac:dyDescent="0.3">
      <c r="A179" s="1" t="s">
        <v>233</v>
      </c>
      <c r="B179" s="2">
        <v>45810</v>
      </c>
      <c r="C179" s="1" t="s">
        <v>232</v>
      </c>
      <c r="D179" s="1" t="s">
        <v>30</v>
      </c>
      <c r="E179" s="1">
        <v>100</v>
      </c>
      <c r="F179" s="1">
        <v>7920</v>
      </c>
      <c r="G179" s="1">
        <v>21</v>
      </c>
      <c r="H179" s="1">
        <v>9583.2000000000007</v>
      </c>
      <c r="I179" s="1">
        <v>792000</v>
      </c>
    </row>
    <row r="180" spans="1:9" x14ac:dyDescent="0.3">
      <c r="A180" s="1" t="s">
        <v>234</v>
      </c>
      <c r="B180" s="2">
        <v>45811</v>
      </c>
      <c r="C180" s="1" t="s">
        <v>232</v>
      </c>
      <c r="D180" s="1" t="s">
        <v>50</v>
      </c>
      <c r="E180" s="1">
        <v>20</v>
      </c>
      <c r="F180" s="1">
        <v>11940</v>
      </c>
      <c r="G180" s="1">
        <v>21</v>
      </c>
      <c r="H180" s="1">
        <v>14447.4</v>
      </c>
      <c r="I180" s="1">
        <v>238800</v>
      </c>
    </row>
    <row r="181" spans="1:9" x14ac:dyDescent="0.3">
      <c r="A181" s="1" t="s">
        <v>234</v>
      </c>
      <c r="B181" s="2">
        <v>45811</v>
      </c>
      <c r="C181" s="1" t="s">
        <v>232</v>
      </c>
      <c r="D181" s="1" t="s">
        <v>59</v>
      </c>
      <c r="E181" s="1">
        <v>20</v>
      </c>
      <c r="F181" s="1">
        <v>12336</v>
      </c>
      <c r="G181" s="1">
        <v>21</v>
      </c>
      <c r="H181" s="1">
        <v>14926.56</v>
      </c>
      <c r="I181" s="1">
        <v>246720</v>
      </c>
    </row>
    <row r="182" spans="1:9" x14ac:dyDescent="0.3">
      <c r="A182" s="1" t="s">
        <v>234</v>
      </c>
      <c r="B182" s="2">
        <v>45811</v>
      </c>
      <c r="C182" s="1" t="s">
        <v>232</v>
      </c>
      <c r="D182" s="1" t="s">
        <v>236</v>
      </c>
      <c r="E182" s="1">
        <v>25</v>
      </c>
      <c r="F182" s="1">
        <v>11880</v>
      </c>
      <c r="G182" s="1">
        <v>21</v>
      </c>
      <c r="H182" s="1">
        <v>14374.8</v>
      </c>
      <c r="I182" s="1">
        <v>297000</v>
      </c>
    </row>
    <row r="183" spans="1:9" x14ac:dyDescent="0.3">
      <c r="A183" s="1" t="s">
        <v>237</v>
      </c>
      <c r="B183" s="2">
        <v>45812</v>
      </c>
      <c r="C183" s="1"/>
      <c r="D183" s="1" t="s">
        <v>30</v>
      </c>
      <c r="E183" s="1">
        <v>75</v>
      </c>
      <c r="F183" s="1">
        <v>7920</v>
      </c>
      <c r="G183" s="1">
        <v>21</v>
      </c>
      <c r="H183" s="1">
        <v>9583.2000000000007</v>
      </c>
      <c r="I183" s="1">
        <v>594000</v>
      </c>
    </row>
    <row r="184" spans="1:9" x14ac:dyDescent="0.3">
      <c r="A184" s="1" t="s">
        <v>238</v>
      </c>
      <c r="B184" s="2">
        <v>45813</v>
      </c>
      <c r="C184" s="1" t="s">
        <v>239</v>
      </c>
      <c r="D184" s="1" t="s">
        <v>30</v>
      </c>
      <c r="E184" s="1">
        <v>75</v>
      </c>
      <c r="F184" s="1">
        <v>7920</v>
      </c>
      <c r="G184" s="1">
        <v>21</v>
      </c>
      <c r="H184" s="1">
        <v>9583.2000000000007</v>
      </c>
      <c r="I184" s="1">
        <v>594000</v>
      </c>
    </row>
    <row r="185" spans="1:9" x14ac:dyDescent="0.3">
      <c r="A185" s="1" t="s">
        <v>240</v>
      </c>
      <c r="B185" s="2">
        <v>45814</v>
      </c>
      <c r="C185" s="1" t="s">
        <v>241</v>
      </c>
      <c r="D185" s="1" t="s">
        <v>30</v>
      </c>
      <c r="E185" s="1">
        <v>75</v>
      </c>
      <c r="F185" s="1">
        <v>7920</v>
      </c>
      <c r="G185" s="1">
        <v>21</v>
      </c>
      <c r="H185" s="1">
        <v>9583.2000000000007</v>
      </c>
      <c r="I185" s="1">
        <v>594000</v>
      </c>
    </row>
    <row r="186" spans="1:9" x14ac:dyDescent="0.3">
      <c r="A186" s="1" t="s">
        <v>240</v>
      </c>
      <c r="B186" s="2">
        <v>45814</v>
      </c>
      <c r="C186" s="1" t="s">
        <v>241</v>
      </c>
      <c r="D186" s="1" t="s">
        <v>59</v>
      </c>
      <c r="E186" s="1">
        <v>20</v>
      </c>
      <c r="F186" s="1">
        <v>12336</v>
      </c>
      <c r="G186" s="1">
        <v>21</v>
      </c>
      <c r="H186" s="1">
        <v>14926.56</v>
      </c>
      <c r="I186" s="1">
        <v>246720</v>
      </c>
    </row>
    <row r="187" spans="1:9" x14ac:dyDescent="0.3">
      <c r="A187" s="1" t="s">
        <v>245</v>
      </c>
      <c r="B187" s="2">
        <v>45818</v>
      </c>
      <c r="C187" s="1" t="s">
        <v>239</v>
      </c>
      <c r="D187" s="1" t="s">
        <v>47</v>
      </c>
      <c r="E187" s="1">
        <v>50</v>
      </c>
      <c r="F187" s="1">
        <v>7404</v>
      </c>
      <c r="G187" s="1">
        <v>21</v>
      </c>
      <c r="H187" s="1">
        <v>8958.84</v>
      </c>
      <c r="I187" s="1">
        <v>370200</v>
      </c>
    </row>
    <row r="188" spans="1:9" x14ac:dyDescent="0.3">
      <c r="A188" s="1" t="s">
        <v>245</v>
      </c>
      <c r="B188" s="2">
        <v>45818</v>
      </c>
      <c r="C188" s="1" t="s">
        <v>239</v>
      </c>
      <c r="D188" s="1" t="s">
        <v>30</v>
      </c>
      <c r="E188" s="1">
        <v>100</v>
      </c>
      <c r="F188" s="1">
        <v>7920</v>
      </c>
      <c r="G188" s="1">
        <v>21</v>
      </c>
      <c r="H188" s="1">
        <v>9583.2000000000007</v>
      </c>
      <c r="I188" s="1">
        <v>792000</v>
      </c>
    </row>
    <row r="189" spans="1:9" x14ac:dyDescent="0.3">
      <c r="A189" s="1" t="s">
        <v>245</v>
      </c>
      <c r="B189" s="2">
        <v>45818</v>
      </c>
      <c r="C189" s="1" t="s">
        <v>239</v>
      </c>
      <c r="D189" s="1" t="s">
        <v>192</v>
      </c>
      <c r="E189" s="1">
        <v>25</v>
      </c>
      <c r="F189" s="1">
        <v>9384</v>
      </c>
      <c r="G189" s="1">
        <v>21</v>
      </c>
      <c r="H189" s="1">
        <v>11354.64</v>
      </c>
      <c r="I189" s="1">
        <v>234600</v>
      </c>
    </row>
    <row r="190" spans="1:9" x14ac:dyDescent="0.3">
      <c r="A190" s="1" t="s">
        <v>246</v>
      </c>
      <c r="B190" s="2">
        <v>45820</v>
      </c>
      <c r="C190" s="1" t="s">
        <v>239</v>
      </c>
      <c r="D190" s="1" t="s">
        <v>248</v>
      </c>
      <c r="E190" s="1">
        <v>2</v>
      </c>
      <c r="F190" s="1">
        <v>6600000</v>
      </c>
      <c r="G190" s="1">
        <v>10.5</v>
      </c>
      <c r="H190" s="1">
        <v>7293000</v>
      </c>
      <c r="I190" s="1">
        <v>13200000</v>
      </c>
    </row>
    <row r="191" spans="1:9" x14ac:dyDescent="0.3">
      <c r="A191" s="1" t="s">
        <v>249</v>
      </c>
      <c r="B191" s="2">
        <v>45820</v>
      </c>
      <c r="C191" s="1" t="s">
        <v>239</v>
      </c>
      <c r="D191" s="1" t="s">
        <v>30</v>
      </c>
      <c r="E191" s="1">
        <v>50</v>
      </c>
      <c r="F191" s="1">
        <v>7920</v>
      </c>
      <c r="G191" s="1">
        <v>21</v>
      </c>
      <c r="H191" s="1">
        <v>9583.2000000000007</v>
      </c>
      <c r="I191" s="1">
        <v>396000</v>
      </c>
    </row>
    <row r="192" spans="1:9" x14ac:dyDescent="0.3">
      <c r="A192" s="1" t="s">
        <v>250</v>
      </c>
      <c r="B192" s="2">
        <v>45820</v>
      </c>
      <c r="C192" s="1" t="s">
        <v>239</v>
      </c>
      <c r="D192" s="1" t="s">
        <v>30</v>
      </c>
      <c r="E192" s="1">
        <v>75</v>
      </c>
      <c r="F192" s="1">
        <v>7920</v>
      </c>
      <c r="G192" s="1">
        <v>21</v>
      </c>
      <c r="H192" s="1">
        <v>9583.2000000000007</v>
      </c>
      <c r="I192" s="1">
        <v>594000</v>
      </c>
    </row>
    <row r="193" spans="1:9" x14ac:dyDescent="0.3">
      <c r="A193" s="1" t="s">
        <v>250</v>
      </c>
      <c r="B193" s="2">
        <v>45820</v>
      </c>
      <c r="C193" s="1" t="s">
        <v>239</v>
      </c>
      <c r="D193" s="1" t="s">
        <v>62</v>
      </c>
      <c r="E193" s="1">
        <v>50</v>
      </c>
      <c r="F193" s="1">
        <v>7752</v>
      </c>
      <c r="G193" s="1">
        <v>21</v>
      </c>
      <c r="H193" s="1">
        <v>9379.92</v>
      </c>
      <c r="I193" s="1">
        <v>387600</v>
      </c>
    </row>
    <row r="194" spans="1:9" x14ac:dyDescent="0.3">
      <c r="A194" s="1" t="s">
        <v>251</v>
      </c>
      <c r="B194" s="2">
        <v>45821</v>
      </c>
      <c r="C194" s="1" t="s">
        <v>239</v>
      </c>
      <c r="D194" s="1" t="s">
        <v>59</v>
      </c>
      <c r="E194" s="1">
        <v>40</v>
      </c>
      <c r="F194" s="1">
        <v>12336</v>
      </c>
      <c r="G194" s="1">
        <v>21</v>
      </c>
      <c r="H194" s="1">
        <v>14926.56</v>
      </c>
      <c r="I194" s="1">
        <v>493440</v>
      </c>
    </row>
    <row r="195" spans="1:9" x14ac:dyDescent="0.3">
      <c r="A195" s="1" t="s">
        <v>251</v>
      </c>
      <c r="B195" s="2">
        <v>45821</v>
      </c>
      <c r="C195" s="1" t="s">
        <v>239</v>
      </c>
      <c r="D195" s="1" t="s">
        <v>236</v>
      </c>
      <c r="E195" s="1">
        <v>25</v>
      </c>
      <c r="F195" s="1">
        <v>11880</v>
      </c>
      <c r="G195" s="1">
        <v>21</v>
      </c>
      <c r="H195" s="1">
        <v>14374.8</v>
      </c>
      <c r="I195" s="1">
        <v>297000</v>
      </c>
    </row>
    <row r="196" spans="1:9" x14ac:dyDescent="0.3">
      <c r="A196" s="1" t="s">
        <v>251</v>
      </c>
      <c r="B196" s="2">
        <v>45821</v>
      </c>
      <c r="C196" s="1" t="s">
        <v>239</v>
      </c>
      <c r="D196" s="1" t="s">
        <v>172</v>
      </c>
      <c r="E196" s="1">
        <v>50</v>
      </c>
      <c r="F196" s="1">
        <v>7404</v>
      </c>
      <c r="G196" s="1">
        <v>21</v>
      </c>
      <c r="H196" s="1">
        <v>8958.84</v>
      </c>
      <c r="I196" s="1">
        <v>370200</v>
      </c>
    </row>
    <row r="197" spans="1:9" x14ac:dyDescent="0.3">
      <c r="A197" s="1" t="s">
        <v>252</v>
      </c>
      <c r="B197" s="2">
        <v>45825</v>
      </c>
      <c r="C197" s="1" t="s">
        <v>239</v>
      </c>
      <c r="D197" s="1" t="s">
        <v>47</v>
      </c>
      <c r="E197" s="1">
        <v>50</v>
      </c>
      <c r="F197" s="1">
        <v>7404</v>
      </c>
      <c r="G197" s="1">
        <v>21</v>
      </c>
      <c r="H197" s="1">
        <v>8958.84</v>
      </c>
      <c r="I197" s="1">
        <v>370200</v>
      </c>
    </row>
    <row r="198" spans="1:9" x14ac:dyDescent="0.3">
      <c r="A198" s="1" t="s">
        <v>252</v>
      </c>
      <c r="B198" s="2">
        <v>45825</v>
      </c>
      <c r="C198" s="1" t="s">
        <v>239</v>
      </c>
      <c r="D198" s="1" t="s">
        <v>30</v>
      </c>
      <c r="E198" s="1">
        <v>50</v>
      </c>
      <c r="F198" s="1">
        <v>7920</v>
      </c>
      <c r="G198" s="1">
        <v>21</v>
      </c>
      <c r="H198" s="1">
        <v>9583.2000000000007</v>
      </c>
      <c r="I198" s="1">
        <v>396000</v>
      </c>
    </row>
    <row r="199" spans="1:9" x14ac:dyDescent="0.3">
      <c r="A199" s="1" t="s">
        <v>252</v>
      </c>
      <c r="B199" s="2">
        <v>45825</v>
      </c>
      <c r="C199" s="1" t="s">
        <v>239</v>
      </c>
      <c r="D199" s="1" t="s">
        <v>50</v>
      </c>
      <c r="E199" s="1">
        <v>20</v>
      </c>
      <c r="F199" s="1">
        <v>11940</v>
      </c>
      <c r="G199" s="1">
        <v>21</v>
      </c>
      <c r="H199" s="1">
        <v>14447.4</v>
      </c>
      <c r="I199" s="1">
        <v>238800</v>
      </c>
    </row>
    <row r="200" spans="1:9" x14ac:dyDescent="0.3">
      <c r="A200" s="1" t="s">
        <v>253</v>
      </c>
      <c r="B200" s="2">
        <v>45826</v>
      </c>
      <c r="C200" s="1" t="s">
        <v>254</v>
      </c>
      <c r="D200" s="1" t="s">
        <v>30</v>
      </c>
      <c r="E200" s="1">
        <v>125</v>
      </c>
      <c r="F200" s="1">
        <v>7821</v>
      </c>
      <c r="G200" s="1">
        <v>21</v>
      </c>
      <c r="H200" s="1">
        <v>9463.41</v>
      </c>
      <c r="I200" s="1">
        <v>977625</v>
      </c>
    </row>
    <row r="201" spans="1:9" x14ac:dyDescent="0.3">
      <c r="A201" s="1" t="s">
        <v>258</v>
      </c>
      <c r="B201" s="2">
        <v>45827</v>
      </c>
      <c r="C201" s="1"/>
      <c r="D201" s="1" t="s">
        <v>30</v>
      </c>
      <c r="E201" s="1">
        <v>250</v>
      </c>
      <c r="F201" s="1">
        <v>7656</v>
      </c>
      <c r="G201" s="1">
        <v>21</v>
      </c>
      <c r="H201" s="1">
        <v>9263.76</v>
      </c>
      <c r="I201" s="1">
        <v>1914000</v>
      </c>
    </row>
    <row r="202" spans="1:9" x14ac:dyDescent="0.3">
      <c r="A202" s="1" t="s">
        <v>258</v>
      </c>
      <c r="B202" s="2">
        <v>45827</v>
      </c>
      <c r="C202" s="1"/>
      <c r="D202" s="1" t="s">
        <v>130</v>
      </c>
      <c r="E202" s="1">
        <v>25</v>
      </c>
      <c r="F202" s="1">
        <v>10416.799999999999</v>
      </c>
      <c r="G202" s="1">
        <v>21</v>
      </c>
      <c r="H202" s="1">
        <v>12604.328</v>
      </c>
      <c r="I202" s="1">
        <v>260420</v>
      </c>
    </row>
    <row r="203" spans="1:9" x14ac:dyDescent="0.3">
      <c r="A203" s="1" t="s">
        <v>258</v>
      </c>
      <c r="B203" s="2">
        <v>45827</v>
      </c>
      <c r="C203" s="1"/>
      <c r="D203" s="1" t="s">
        <v>78</v>
      </c>
      <c r="E203" s="1">
        <v>25</v>
      </c>
      <c r="F203" s="1">
        <v>11762.4</v>
      </c>
      <c r="G203" s="1">
        <v>21</v>
      </c>
      <c r="H203" s="1">
        <v>14232.504000000001</v>
      </c>
      <c r="I203" s="1">
        <v>294060</v>
      </c>
    </row>
    <row r="204" spans="1:9" x14ac:dyDescent="0.3">
      <c r="A204" s="1" t="s">
        <v>258</v>
      </c>
      <c r="B204" s="2">
        <v>45827</v>
      </c>
      <c r="C204" s="1"/>
      <c r="D204" s="1" t="s">
        <v>260</v>
      </c>
      <c r="E204" s="1">
        <v>25</v>
      </c>
      <c r="F204" s="1">
        <v>11774</v>
      </c>
      <c r="G204" s="1">
        <v>21</v>
      </c>
      <c r="H204" s="1">
        <v>14246.54</v>
      </c>
      <c r="I204" s="1">
        <v>294350</v>
      </c>
    </row>
    <row r="205" spans="1:9" x14ac:dyDescent="0.3">
      <c r="A205" s="1" t="s">
        <v>258</v>
      </c>
      <c r="B205" s="2">
        <v>45827</v>
      </c>
      <c r="C205" s="1"/>
      <c r="D205" s="1" t="s">
        <v>172</v>
      </c>
      <c r="E205" s="1">
        <v>50</v>
      </c>
      <c r="F205" s="1">
        <v>7540</v>
      </c>
      <c r="G205" s="1">
        <v>21</v>
      </c>
      <c r="H205" s="1">
        <v>9123.4</v>
      </c>
      <c r="I205" s="1">
        <v>377000</v>
      </c>
    </row>
    <row r="206" spans="1:9" x14ac:dyDescent="0.3">
      <c r="A206" s="1" t="s">
        <v>261</v>
      </c>
      <c r="B206" s="2">
        <v>45831</v>
      </c>
      <c r="C206" s="1" t="s">
        <v>262</v>
      </c>
      <c r="D206" s="1" t="s">
        <v>59</v>
      </c>
      <c r="E206" s="1">
        <v>40</v>
      </c>
      <c r="F206" s="1">
        <v>12130.4</v>
      </c>
      <c r="G206" s="1">
        <v>21</v>
      </c>
      <c r="H206" s="1">
        <v>14677.784</v>
      </c>
      <c r="I206" s="1">
        <v>485216</v>
      </c>
    </row>
    <row r="207" spans="1:9" x14ac:dyDescent="0.3">
      <c r="A207" s="1" t="s">
        <v>263</v>
      </c>
      <c r="B207" s="2">
        <v>45832</v>
      </c>
      <c r="C207" s="1" t="s">
        <v>254</v>
      </c>
      <c r="D207" s="1" t="s">
        <v>172</v>
      </c>
      <c r="E207" s="1">
        <v>50</v>
      </c>
      <c r="F207" s="1">
        <v>7702.5</v>
      </c>
      <c r="G207" s="1">
        <v>21</v>
      </c>
      <c r="H207" s="1">
        <v>9320.0249999999996</v>
      </c>
      <c r="I207" s="1">
        <v>385125</v>
      </c>
    </row>
    <row r="208" spans="1:9" x14ac:dyDescent="0.3">
      <c r="A208" s="1" t="s">
        <v>264</v>
      </c>
      <c r="B208" s="2">
        <v>45833</v>
      </c>
      <c r="C208" s="1" t="s">
        <v>265</v>
      </c>
      <c r="D208" s="1" t="s">
        <v>50</v>
      </c>
      <c r="E208" s="1">
        <v>20</v>
      </c>
      <c r="F208" s="1">
        <v>11890.25</v>
      </c>
      <c r="G208" s="1">
        <v>21</v>
      </c>
      <c r="H208" s="1">
        <v>14387.202499999999</v>
      </c>
      <c r="I208" s="1">
        <v>237805</v>
      </c>
    </row>
    <row r="209" spans="1:9" x14ac:dyDescent="0.3">
      <c r="A209" s="1" t="s">
        <v>264</v>
      </c>
      <c r="B209" s="2">
        <v>45833</v>
      </c>
      <c r="C209" s="1" t="s">
        <v>265</v>
      </c>
      <c r="D209" s="1" t="s">
        <v>59</v>
      </c>
      <c r="E209" s="1">
        <v>20</v>
      </c>
      <c r="F209" s="1">
        <v>12284.6</v>
      </c>
      <c r="G209" s="1">
        <v>21</v>
      </c>
      <c r="H209" s="1">
        <v>14864.366</v>
      </c>
      <c r="I209" s="1">
        <v>245692</v>
      </c>
    </row>
    <row r="210" spans="1:9" x14ac:dyDescent="0.3">
      <c r="A210" s="1" t="s">
        <v>264</v>
      </c>
      <c r="B210" s="2">
        <v>45833</v>
      </c>
      <c r="C210" s="1" t="s">
        <v>265</v>
      </c>
      <c r="D210" s="1" t="s">
        <v>172</v>
      </c>
      <c r="E210" s="1">
        <v>50</v>
      </c>
      <c r="F210" s="1">
        <v>7767.5</v>
      </c>
      <c r="G210" s="1">
        <v>21</v>
      </c>
      <c r="H210" s="1">
        <v>9398.6749999999993</v>
      </c>
      <c r="I210" s="1">
        <v>388375</v>
      </c>
    </row>
    <row r="211" spans="1:9" x14ac:dyDescent="0.3">
      <c r="A211" s="1" t="s">
        <v>269</v>
      </c>
      <c r="B211" s="2">
        <v>45834</v>
      </c>
      <c r="C211" s="1" t="s">
        <v>270</v>
      </c>
      <c r="D211" s="1" t="s">
        <v>47</v>
      </c>
      <c r="E211" s="1">
        <v>50</v>
      </c>
      <c r="F211" s="1">
        <v>7434.85</v>
      </c>
      <c r="G211" s="1">
        <v>21</v>
      </c>
      <c r="H211" s="1">
        <v>8996.1684999999998</v>
      </c>
      <c r="I211" s="1">
        <v>371742.5</v>
      </c>
    </row>
    <row r="212" spans="1:9" x14ac:dyDescent="0.3">
      <c r="A212" s="1" t="s">
        <v>269</v>
      </c>
      <c r="B212" s="2">
        <v>45834</v>
      </c>
      <c r="C212" s="1" t="s">
        <v>270</v>
      </c>
      <c r="D212" s="1" t="s">
        <v>30</v>
      </c>
      <c r="E212" s="1">
        <v>100</v>
      </c>
      <c r="F212" s="1">
        <v>7953</v>
      </c>
      <c r="G212" s="1">
        <v>21</v>
      </c>
      <c r="H212" s="1">
        <v>9623.1299999999992</v>
      </c>
      <c r="I212" s="1">
        <v>795300</v>
      </c>
    </row>
    <row r="213" spans="1:9" x14ac:dyDescent="0.3">
      <c r="A213" s="1" t="s">
        <v>275</v>
      </c>
      <c r="B213" s="2">
        <v>45835</v>
      </c>
      <c r="C213" s="1" t="s">
        <v>270</v>
      </c>
      <c r="D213" s="1" t="s">
        <v>30</v>
      </c>
      <c r="E213" s="1">
        <v>50</v>
      </c>
      <c r="F213" s="1">
        <v>7953</v>
      </c>
      <c r="G213" s="1">
        <v>21</v>
      </c>
      <c r="H213" s="1">
        <v>9623.1299999999992</v>
      </c>
      <c r="I213" s="1">
        <v>397650</v>
      </c>
    </row>
    <row r="214" spans="1:9" x14ac:dyDescent="0.3">
      <c r="A214" s="1" t="s">
        <v>275</v>
      </c>
      <c r="B214" s="2">
        <v>45835</v>
      </c>
      <c r="C214" s="1" t="s">
        <v>270</v>
      </c>
      <c r="D214" s="1" t="s">
        <v>59</v>
      </c>
      <c r="E214" s="1">
        <v>20</v>
      </c>
      <c r="F214" s="1">
        <v>12387.4</v>
      </c>
      <c r="G214" s="1">
        <v>21</v>
      </c>
      <c r="H214" s="1">
        <v>14988.754000000001</v>
      </c>
      <c r="I214" s="1">
        <v>247748</v>
      </c>
    </row>
    <row r="215" spans="1:9" x14ac:dyDescent="0.3">
      <c r="A215" s="1" t="s">
        <v>276</v>
      </c>
      <c r="B215" s="2">
        <v>45838</v>
      </c>
      <c r="C215" s="1" t="s">
        <v>270</v>
      </c>
      <c r="D215" s="1" t="s">
        <v>30</v>
      </c>
      <c r="E215" s="1">
        <v>50</v>
      </c>
      <c r="F215" s="1">
        <v>7953</v>
      </c>
      <c r="G215" s="1">
        <v>21</v>
      </c>
      <c r="H215" s="1">
        <v>9623.1299999999992</v>
      </c>
      <c r="I215" s="1">
        <v>397650</v>
      </c>
    </row>
    <row r="216" spans="1:9" x14ac:dyDescent="0.3">
      <c r="A216" s="1" t="s">
        <v>276</v>
      </c>
      <c r="B216" s="2">
        <v>45838</v>
      </c>
      <c r="C216" s="1" t="s">
        <v>270</v>
      </c>
      <c r="D216" s="1" t="s">
        <v>130</v>
      </c>
      <c r="E216" s="1">
        <v>25</v>
      </c>
      <c r="F216" s="1">
        <v>10820.9</v>
      </c>
      <c r="G216" s="1">
        <v>21</v>
      </c>
      <c r="H216" s="1">
        <v>13093.289000000001</v>
      </c>
      <c r="I216" s="1">
        <v>270522.5</v>
      </c>
    </row>
    <row r="217" spans="1:9" x14ac:dyDescent="0.3">
      <c r="A217" s="1" t="s">
        <v>276</v>
      </c>
      <c r="B217" s="2">
        <v>45838</v>
      </c>
      <c r="C217" s="1" t="s">
        <v>270</v>
      </c>
      <c r="D217" s="1" t="s">
        <v>84</v>
      </c>
      <c r="E217" s="1">
        <v>25</v>
      </c>
      <c r="F217" s="1">
        <v>9808.7000000000007</v>
      </c>
      <c r="G217" s="1">
        <v>21</v>
      </c>
      <c r="H217" s="1">
        <v>11868.527</v>
      </c>
      <c r="I217" s="1">
        <v>245217.5</v>
      </c>
    </row>
  </sheetData>
  <autoFilter ref="A1:I21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I277"/>
  <sheetViews>
    <sheetView workbookViewId="0">
      <selection activeCell="L17" sqref="L17"/>
    </sheetView>
  </sheetViews>
  <sheetFormatPr baseColWidth="10" defaultRowHeight="14.4" x14ac:dyDescent="0.3"/>
  <cols>
    <col min="1" max="1" width="22.21875" customWidth="1"/>
    <col min="2" max="2" width="28.109375" customWidth="1"/>
    <col min="3" max="3" width="24.5546875" customWidth="1"/>
    <col min="5" max="5" width="18.77734375" customWidth="1"/>
  </cols>
  <sheetData>
    <row r="1" spans="1:9" x14ac:dyDescent="0.3">
      <c r="A1" s="1" t="s">
        <v>0</v>
      </c>
      <c r="B1" s="1" t="s">
        <v>277</v>
      </c>
      <c r="C1" s="1" t="s">
        <v>1</v>
      </c>
      <c r="D1" s="1" t="s">
        <v>278</v>
      </c>
      <c r="E1" s="1" t="s">
        <v>279</v>
      </c>
      <c r="F1" s="1" t="s">
        <v>280</v>
      </c>
      <c r="G1" s="1" t="s">
        <v>281</v>
      </c>
      <c r="H1" s="1" t="s">
        <v>282</v>
      </c>
      <c r="I1" s="1" t="s">
        <v>17</v>
      </c>
    </row>
    <row r="2" spans="1:9" x14ac:dyDescent="0.3">
      <c r="A2" s="1" t="s">
        <v>292</v>
      </c>
      <c r="B2" s="1" t="s">
        <v>284</v>
      </c>
      <c r="C2" s="2">
        <v>45839</v>
      </c>
      <c r="D2" s="1">
        <v>50</v>
      </c>
      <c r="E2" s="1">
        <v>8019</v>
      </c>
      <c r="F2" s="1">
        <v>0</v>
      </c>
      <c r="G2" s="1">
        <v>400950</v>
      </c>
      <c r="H2" s="1" t="s">
        <v>285</v>
      </c>
      <c r="I2" t="s">
        <v>47</v>
      </c>
    </row>
    <row r="3" spans="1:9" x14ac:dyDescent="0.3">
      <c r="A3" s="1" t="s">
        <v>283</v>
      </c>
      <c r="B3" s="1" t="s">
        <v>284</v>
      </c>
      <c r="C3" s="2">
        <v>45840</v>
      </c>
      <c r="D3" s="1">
        <v>50</v>
      </c>
      <c r="E3" s="1">
        <v>7619.95</v>
      </c>
      <c r="F3" s="1">
        <v>0</v>
      </c>
      <c r="G3" s="1">
        <v>380997.5</v>
      </c>
      <c r="H3" s="1" t="s">
        <v>285</v>
      </c>
      <c r="I3" t="s">
        <v>47</v>
      </c>
    </row>
    <row r="4" spans="1:9" x14ac:dyDescent="0.3">
      <c r="A4" s="1" t="s">
        <v>293</v>
      </c>
      <c r="B4" s="1" t="s">
        <v>284</v>
      </c>
      <c r="C4" s="2">
        <v>45841</v>
      </c>
      <c r="D4" s="1">
        <v>100</v>
      </c>
      <c r="E4" s="1">
        <v>8217</v>
      </c>
      <c r="F4" s="1">
        <v>0</v>
      </c>
      <c r="G4" s="1">
        <v>821700</v>
      </c>
      <c r="H4" s="1" t="s">
        <v>285</v>
      </c>
      <c r="I4" t="s">
        <v>47</v>
      </c>
    </row>
    <row r="5" spans="1:9" x14ac:dyDescent="0.3">
      <c r="A5" s="1" t="s">
        <v>293</v>
      </c>
      <c r="B5" s="1" t="s">
        <v>284</v>
      </c>
      <c r="C5" s="2">
        <v>45841</v>
      </c>
      <c r="D5" s="1">
        <v>20</v>
      </c>
      <c r="E5" s="1">
        <v>12387.75</v>
      </c>
      <c r="F5" s="1">
        <v>0</v>
      </c>
      <c r="G5" s="1">
        <v>247755</v>
      </c>
      <c r="H5" s="1" t="s">
        <v>285</v>
      </c>
      <c r="I5" t="s">
        <v>47</v>
      </c>
    </row>
    <row r="6" spans="1:9" x14ac:dyDescent="0.3">
      <c r="A6" s="1" t="s">
        <v>293</v>
      </c>
      <c r="B6" s="1" t="s">
        <v>284</v>
      </c>
      <c r="C6" s="2">
        <v>45841</v>
      </c>
      <c r="D6" s="1">
        <v>20</v>
      </c>
      <c r="E6" s="1">
        <v>12798.6</v>
      </c>
      <c r="F6" s="1">
        <v>0</v>
      </c>
      <c r="G6" s="1">
        <v>255972</v>
      </c>
      <c r="H6" s="1" t="s">
        <v>285</v>
      </c>
      <c r="I6" t="s">
        <v>47</v>
      </c>
    </row>
    <row r="7" spans="1:9" x14ac:dyDescent="0.3">
      <c r="A7" s="1" t="s">
        <v>294</v>
      </c>
      <c r="B7" s="1" t="s">
        <v>284</v>
      </c>
      <c r="C7" s="2">
        <v>45842</v>
      </c>
      <c r="D7" s="1">
        <v>250</v>
      </c>
      <c r="E7" s="1">
        <v>8217</v>
      </c>
      <c r="F7" s="1">
        <v>0</v>
      </c>
      <c r="G7" s="1">
        <v>2054250</v>
      </c>
      <c r="H7" s="1" t="s">
        <v>285</v>
      </c>
      <c r="I7" t="s">
        <v>47</v>
      </c>
    </row>
    <row r="8" spans="1:9" hidden="1" x14ac:dyDescent="0.3">
      <c r="A8" s="1" t="s">
        <v>46</v>
      </c>
      <c r="B8" s="1" t="s">
        <v>291</v>
      </c>
      <c r="D8" s="1">
        <v>300</v>
      </c>
      <c r="E8" s="1">
        <v>7859.0375000000004</v>
      </c>
      <c r="F8" s="1">
        <v>0</v>
      </c>
      <c r="G8" s="1">
        <v>2357711.25</v>
      </c>
      <c r="H8" s="1">
        <v>2357711.25</v>
      </c>
    </row>
    <row r="9" spans="1:9" x14ac:dyDescent="0.3">
      <c r="A9" s="1" t="s">
        <v>286</v>
      </c>
      <c r="B9" s="1" t="s">
        <v>284</v>
      </c>
      <c r="C9" s="2">
        <v>45845</v>
      </c>
      <c r="D9" s="1">
        <v>50</v>
      </c>
      <c r="E9" s="1">
        <v>7774.2</v>
      </c>
      <c r="F9" s="1">
        <v>0</v>
      </c>
      <c r="G9" s="1">
        <v>388710</v>
      </c>
      <c r="H9" s="1" t="s">
        <v>285</v>
      </c>
      <c r="I9" t="s">
        <v>30</v>
      </c>
    </row>
    <row r="10" spans="1:9" x14ac:dyDescent="0.3">
      <c r="A10" s="1" t="s">
        <v>286</v>
      </c>
      <c r="B10" s="1" t="s">
        <v>284</v>
      </c>
      <c r="C10" s="2">
        <v>45845</v>
      </c>
      <c r="D10" s="1">
        <v>25</v>
      </c>
      <c r="E10" s="1">
        <v>8139.6</v>
      </c>
      <c r="F10" s="1">
        <v>0</v>
      </c>
      <c r="G10" s="1">
        <v>203490</v>
      </c>
      <c r="H10" s="1" t="s">
        <v>285</v>
      </c>
      <c r="I10" t="s">
        <v>30</v>
      </c>
    </row>
    <row r="11" spans="1:9" x14ac:dyDescent="0.3">
      <c r="A11" s="1" t="s">
        <v>295</v>
      </c>
      <c r="B11" s="1" t="s">
        <v>284</v>
      </c>
      <c r="C11" s="2">
        <v>45846</v>
      </c>
      <c r="D11" s="1">
        <v>75</v>
      </c>
      <c r="E11" s="1">
        <v>8448</v>
      </c>
      <c r="F11" s="1">
        <v>0</v>
      </c>
      <c r="G11" s="1">
        <v>633600</v>
      </c>
      <c r="H11" s="1" t="s">
        <v>285</v>
      </c>
      <c r="I11" t="s">
        <v>30</v>
      </c>
    </row>
    <row r="12" spans="1:9" x14ac:dyDescent="0.3">
      <c r="A12" s="1" t="s">
        <v>296</v>
      </c>
      <c r="B12" s="1" t="s">
        <v>284</v>
      </c>
      <c r="C12" s="2">
        <v>45848</v>
      </c>
      <c r="D12" s="1">
        <v>50</v>
      </c>
      <c r="E12" s="1">
        <v>8415</v>
      </c>
      <c r="F12" s="1">
        <v>0</v>
      </c>
      <c r="G12" s="1">
        <v>420750</v>
      </c>
      <c r="H12" s="1" t="s">
        <v>285</v>
      </c>
      <c r="I12" t="s">
        <v>30</v>
      </c>
    </row>
    <row r="13" spans="1:9" x14ac:dyDescent="0.3">
      <c r="A13" s="1" t="s">
        <v>296</v>
      </c>
      <c r="B13" s="1" t="s">
        <v>284</v>
      </c>
      <c r="C13" s="2">
        <v>45848</v>
      </c>
      <c r="D13" s="1">
        <v>20</v>
      </c>
      <c r="E13" s="1">
        <v>12686.25</v>
      </c>
      <c r="F13" s="1">
        <v>0</v>
      </c>
      <c r="G13" s="1">
        <v>253725</v>
      </c>
      <c r="H13" s="1" t="s">
        <v>285</v>
      </c>
      <c r="I13" t="s">
        <v>30</v>
      </c>
    </row>
    <row r="14" spans="1:9" x14ac:dyDescent="0.3">
      <c r="A14" s="1" t="s">
        <v>296</v>
      </c>
      <c r="B14" s="1" t="s">
        <v>284</v>
      </c>
      <c r="C14" s="2">
        <v>45848</v>
      </c>
      <c r="D14" s="1">
        <v>25</v>
      </c>
      <c r="E14" s="1">
        <v>10378.5</v>
      </c>
      <c r="F14" s="1">
        <v>0</v>
      </c>
      <c r="G14" s="1">
        <v>259462.5</v>
      </c>
      <c r="H14" s="1" t="s">
        <v>285</v>
      </c>
      <c r="I14" t="s">
        <v>30</v>
      </c>
    </row>
    <row r="15" spans="1:9" x14ac:dyDescent="0.3">
      <c r="A15" s="1" t="s">
        <v>287</v>
      </c>
      <c r="B15" s="1" t="s">
        <v>284</v>
      </c>
      <c r="C15" s="2">
        <v>45849</v>
      </c>
      <c r="D15" s="1">
        <v>50</v>
      </c>
      <c r="E15" s="1">
        <v>7866.75</v>
      </c>
      <c r="F15" s="1">
        <v>0</v>
      </c>
      <c r="G15" s="1">
        <v>393337.5</v>
      </c>
      <c r="H15" s="1" t="s">
        <v>285</v>
      </c>
      <c r="I15" t="s">
        <v>30</v>
      </c>
    </row>
    <row r="16" spans="1:9" x14ac:dyDescent="0.3">
      <c r="A16" s="1" t="s">
        <v>287</v>
      </c>
      <c r="B16" s="1" t="s">
        <v>284</v>
      </c>
      <c r="C16" s="2">
        <v>45849</v>
      </c>
      <c r="D16" s="1">
        <v>100</v>
      </c>
      <c r="E16" s="1">
        <v>8382</v>
      </c>
      <c r="F16" s="1">
        <v>0</v>
      </c>
      <c r="G16" s="1">
        <v>838200</v>
      </c>
      <c r="H16" s="1" t="s">
        <v>285</v>
      </c>
      <c r="I16" t="s">
        <v>30</v>
      </c>
    </row>
    <row r="17" spans="1:9" x14ac:dyDescent="0.3">
      <c r="A17" s="1" t="s">
        <v>287</v>
      </c>
      <c r="B17" s="1" t="s">
        <v>284</v>
      </c>
      <c r="C17" s="2">
        <v>45849</v>
      </c>
      <c r="D17" s="1">
        <v>20</v>
      </c>
      <c r="E17" s="1">
        <v>12686.25</v>
      </c>
      <c r="F17" s="1">
        <v>0</v>
      </c>
      <c r="G17" s="1">
        <v>253725</v>
      </c>
      <c r="H17" s="1" t="s">
        <v>285</v>
      </c>
      <c r="I17" t="s">
        <v>30</v>
      </c>
    </row>
    <row r="18" spans="1:9" x14ac:dyDescent="0.3">
      <c r="A18" s="1" t="s">
        <v>287</v>
      </c>
      <c r="B18" s="1" t="s">
        <v>284</v>
      </c>
      <c r="C18" s="2">
        <v>45849</v>
      </c>
      <c r="D18" s="1">
        <v>125</v>
      </c>
      <c r="E18" s="1">
        <v>12303.75</v>
      </c>
      <c r="F18" s="1">
        <v>0</v>
      </c>
      <c r="G18" s="1">
        <v>1537968.75</v>
      </c>
      <c r="H18" s="1" t="s">
        <v>285</v>
      </c>
      <c r="I18" t="s">
        <v>30</v>
      </c>
    </row>
    <row r="19" spans="1:9" x14ac:dyDescent="0.3">
      <c r="A19" s="1" t="s">
        <v>297</v>
      </c>
      <c r="B19" s="1" t="s">
        <v>284</v>
      </c>
      <c r="C19" s="2">
        <v>45852</v>
      </c>
      <c r="D19" s="1">
        <v>75</v>
      </c>
      <c r="E19" s="1">
        <v>8415</v>
      </c>
      <c r="F19" s="1">
        <v>0</v>
      </c>
      <c r="G19" s="1">
        <v>631125</v>
      </c>
      <c r="H19" s="1" t="s">
        <v>285</v>
      </c>
      <c r="I19" t="s">
        <v>30</v>
      </c>
    </row>
    <row r="20" spans="1:9" x14ac:dyDescent="0.3">
      <c r="A20" s="1" t="s">
        <v>288</v>
      </c>
      <c r="B20" s="1" t="s">
        <v>284</v>
      </c>
      <c r="C20" s="2">
        <v>45853</v>
      </c>
      <c r="D20" s="1">
        <v>25</v>
      </c>
      <c r="E20" s="1">
        <v>7990.15</v>
      </c>
      <c r="F20" s="1">
        <v>0</v>
      </c>
      <c r="G20" s="1">
        <v>199753.75</v>
      </c>
      <c r="H20" s="1" t="s">
        <v>285</v>
      </c>
      <c r="I20" t="s">
        <v>30</v>
      </c>
    </row>
    <row r="21" spans="1:9" hidden="1" x14ac:dyDescent="0.3">
      <c r="A21" s="1" t="s">
        <v>29</v>
      </c>
      <c r="B21" s="1" t="s">
        <v>303</v>
      </c>
      <c r="D21" s="1">
        <v>1125</v>
      </c>
      <c r="E21" s="1">
        <v>8395.2000000000007</v>
      </c>
      <c r="F21" s="1">
        <v>0</v>
      </c>
      <c r="G21" s="1">
        <v>9444600</v>
      </c>
      <c r="H21" s="1">
        <v>9444600</v>
      </c>
    </row>
    <row r="22" spans="1:9" x14ac:dyDescent="0.3">
      <c r="A22" s="1" t="s">
        <v>288</v>
      </c>
      <c r="B22" s="1" t="s">
        <v>284</v>
      </c>
      <c r="C22" s="2">
        <v>45853</v>
      </c>
      <c r="D22" s="1">
        <v>20</v>
      </c>
      <c r="E22" s="1">
        <v>13312.6</v>
      </c>
      <c r="F22" s="1">
        <v>0</v>
      </c>
      <c r="G22" s="1">
        <v>266252</v>
      </c>
      <c r="H22" s="1" t="s">
        <v>285</v>
      </c>
      <c r="I22" t="s">
        <v>50</v>
      </c>
    </row>
    <row r="23" spans="1:9" x14ac:dyDescent="0.3">
      <c r="A23" s="1" t="s">
        <v>298</v>
      </c>
      <c r="B23" s="1" t="s">
        <v>284</v>
      </c>
      <c r="C23" s="2">
        <v>45854</v>
      </c>
      <c r="D23" s="1">
        <v>75</v>
      </c>
      <c r="E23" s="1">
        <v>8448</v>
      </c>
      <c r="F23" s="1">
        <v>0</v>
      </c>
      <c r="G23" s="1">
        <v>633600</v>
      </c>
      <c r="H23" s="1" t="s">
        <v>285</v>
      </c>
      <c r="I23" t="s">
        <v>50</v>
      </c>
    </row>
    <row r="24" spans="1:9" x14ac:dyDescent="0.3">
      <c r="A24" s="1" t="s">
        <v>298</v>
      </c>
      <c r="B24" s="1" t="s">
        <v>284</v>
      </c>
      <c r="C24" s="2">
        <v>45854</v>
      </c>
      <c r="D24" s="1">
        <v>20</v>
      </c>
      <c r="E24" s="1">
        <v>13158.4</v>
      </c>
      <c r="F24" s="1">
        <v>0</v>
      </c>
      <c r="G24" s="1">
        <v>263168</v>
      </c>
      <c r="H24" s="1" t="s">
        <v>285</v>
      </c>
      <c r="I24" t="s">
        <v>50</v>
      </c>
    </row>
    <row r="25" spans="1:9" x14ac:dyDescent="0.3">
      <c r="A25" s="1" t="s">
        <v>298</v>
      </c>
      <c r="B25" s="1" t="s">
        <v>284</v>
      </c>
      <c r="C25" s="2">
        <v>45854</v>
      </c>
      <c r="D25" s="1">
        <v>25</v>
      </c>
      <c r="E25" s="1">
        <v>8268.7999999999993</v>
      </c>
      <c r="F25" s="1">
        <v>0</v>
      </c>
      <c r="G25" s="1">
        <v>206720</v>
      </c>
      <c r="H25" s="1" t="s">
        <v>285</v>
      </c>
      <c r="I25" t="s">
        <v>50</v>
      </c>
    </row>
    <row r="26" spans="1:9" hidden="1" x14ac:dyDescent="0.3">
      <c r="A26" s="1" t="s">
        <v>49</v>
      </c>
      <c r="B26" s="1" t="s">
        <v>304</v>
      </c>
      <c r="D26" s="1">
        <v>100</v>
      </c>
      <c r="E26" s="1">
        <v>12666.35</v>
      </c>
      <c r="F26" s="1">
        <v>0</v>
      </c>
      <c r="G26" s="1">
        <v>1266635</v>
      </c>
      <c r="H26" s="1">
        <v>1266635</v>
      </c>
    </row>
    <row r="27" spans="1:9" x14ac:dyDescent="0.3">
      <c r="A27" s="1" t="s">
        <v>298</v>
      </c>
      <c r="B27" s="1" t="s">
        <v>284</v>
      </c>
      <c r="C27" s="2">
        <v>45854</v>
      </c>
      <c r="D27" s="1">
        <v>125</v>
      </c>
      <c r="E27" s="1">
        <v>7897.6</v>
      </c>
      <c r="F27" s="1">
        <v>0</v>
      </c>
      <c r="G27" s="1">
        <v>987200</v>
      </c>
      <c r="H27" s="1" t="s">
        <v>285</v>
      </c>
      <c r="I27" t="s">
        <v>59</v>
      </c>
    </row>
    <row r="28" spans="1:9" x14ac:dyDescent="0.3">
      <c r="A28" s="1" t="s">
        <v>289</v>
      </c>
      <c r="B28" s="1" t="s">
        <v>284</v>
      </c>
      <c r="C28" s="2">
        <v>45859</v>
      </c>
      <c r="D28" s="1">
        <v>75</v>
      </c>
      <c r="E28" s="1">
        <v>8021</v>
      </c>
      <c r="F28" s="1">
        <v>0</v>
      </c>
      <c r="G28" s="1">
        <v>601575</v>
      </c>
      <c r="H28" s="1" t="s">
        <v>285</v>
      </c>
      <c r="I28" t="s">
        <v>59</v>
      </c>
    </row>
    <row r="29" spans="1:9" x14ac:dyDescent="0.3">
      <c r="A29" s="1" t="s">
        <v>299</v>
      </c>
      <c r="B29" s="1" t="s">
        <v>284</v>
      </c>
      <c r="C29" s="2">
        <v>45860</v>
      </c>
      <c r="D29" s="1">
        <v>125</v>
      </c>
      <c r="E29" s="1">
        <v>8580</v>
      </c>
      <c r="F29" s="1">
        <v>0</v>
      </c>
      <c r="G29" s="1">
        <v>1072500</v>
      </c>
      <c r="H29" s="1" t="s">
        <v>285</v>
      </c>
      <c r="I29" t="s">
        <v>59</v>
      </c>
    </row>
    <row r="30" spans="1:9" x14ac:dyDescent="0.3">
      <c r="A30" s="1" t="s">
        <v>299</v>
      </c>
      <c r="B30" s="1" t="s">
        <v>284</v>
      </c>
      <c r="C30" s="2">
        <v>45860</v>
      </c>
      <c r="D30" s="1">
        <v>25</v>
      </c>
      <c r="E30" s="1">
        <v>10660</v>
      </c>
      <c r="F30" s="1">
        <v>0</v>
      </c>
      <c r="G30" s="1">
        <v>266500</v>
      </c>
      <c r="H30" s="1" t="s">
        <v>285</v>
      </c>
      <c r="I30" t="s">
        <v>59</v>
      </c>
    </row>
    <row r="31" spans="1:9" x14ac:dyDescent="0.3">
      <c r="A31" s="1" t="s">
        <v>290</v>
      </c>
      <c r="B31" s="1" t="s">
        <v>284</v>
      </c>
      <c r="C31" s="2">
        <v>45861</v>
      </c>
      <c r="D31" s="1">
        <v>50</v>
      </c>
      <c r="E31" s="1">
        <v>7866.75</v>
      </c>
      <c r="F31" s="1">
        <v>0</v>
      </c>
      <c r="G31" s="1">
        <v>393337.5</v>
      </c>
      <c r="H31" s="1" t="s">
        <v>285</v>
      </c>
      <c r="I31" t="s">
        <v>59</v>
      </c>
    </row>
    <row r="32" spans="1:9" x14ac:dyDescent="0.3">
      <c r="A32" s="1" t="s">
        <v>290</v>
      </c>
      <c r="B32" s="1" t="s">
        <v>284</v>
      </c>
      <c r="C32" s="2">
        <v>45861</v>
      </c>
      <c r="D32" s="1">
        <v>40</v>
      </c>
      <c r="E32" s="1">
        <v>13107</v>
      </c>
      <c r="F32" s="1">
        <v>0</v>
      </c>
      <c r="G32" s="1">
        <v>524280</v>
      </c>
      <c r="H32" s="1" t="s">
        <v>285</v>
      </c>
      <c r="I32" t="s">
        <v>59</v>
      </c>
    </row>
    <row r="33" spans="1:9" hidden="1" x14ac:dyDescent="0.3">
      <c r="A33" s="1" t="s">
        <v>58</v>
      </c>
      <c r="B33" s="1" t="s">
        <v>305</v>
      </c>
      <c r="D33" s="1">
        <v>140</v>
      </c>
      <c r="E33" s="1">
        <v>13209.8</v>
      </c>
      <c r="F33" s="1">
        <v>0</v>
      </c>
      <c r="G33" s="1">
        <v>1849372</v>
      </c>
      <c r="H33" s="1">
        <v>1849372</v>
      </c>
    </row>
    <row r="34" spans="1:9" x14ac:dyDescent="0.3">
      <c r="A34" s="1" t="s">
        <v>290</v>
      </c>
      <c r="B34" s="1" t="s">
        <v>284</v>
      </c>
      <c r="C34" s="2">
        <v>45861</v>
      </c>
      <c r="D34" s="1">
        <v>75</v>
      </c>
      <c r="E34" s="1">
        <v>10493.25</v>
      </c>
      <c r="F34" s="1">
        <v>0</v>
      </c>
      <c r="G34" s="1">
        <v>786993.75</v>
      </c>
      <c r="H34" s="1" t="s">
        <v>285</v>
      </c>
      <c r="I34" t="s">
        <v>62</v>
      </c>
    </row>
    <row r="35" spans="1:9" x14ac:dyDescent="0.3">
      <c r="A35" s="1" t="s">
        <v>300</v>
      </c>
      <c r="B35" s="1" t="s">
        <v>284</v>
      </c>
      <c r="C35" s="2">
        <v>45863</v>
      </c>
      <c r="D35" s="1">
        <v>50</v>
      </c>
      <c r="E35" s="1">
        <v>8481</v>
      </c>
      <c r="F35" s="1">
        <v>0</v>
      </c>
      <c r="G35" s="1">
        <v>424050</v>
      </c>
      <c r="H35" s="1" t="s">
        <v>285</v>
      </c>
      <c r="I35" t="s">
        <v>62</v>
      </c>
    </row>
    <row r="36" spans="1:9" hidden="1" x14ac:dyDescent="0.3">
      <c r="A36" s="1" t="s">
        <v>61</v>
      </c>
      <c r="B36" s="1" t="s">
        <v>306</v>
      </c>
      <c r="D36" s="1">
        <v>50</v>
      </c>
      <c r="E36" s="1">
        <v>8204.2000000000007</v>
      </c>
      <c r="F36" s="1">
        <v>0</v>
      </c>
      <c r="G36" s="1">
        <v>410210</v>
      </c>
      <c r="H36" s="1">
        <v>410210</v>
      </c>
    </row>
    <row r="37" spans="1:9" x14ac:dyDescent="0.3">
      <c r="A37" s="1" t="s">
        <v>300</v>
      </c>
      <c r="B37" s="1" t="s">
        <v>284</v>
      </c>
      <c r="C37" s="2">
        <v>45863</v>
      </c>
      <c r="D37" s="1">
        <v>40</v>
      </c>
      <c r="E37" s="1">
        <v>12785.75</v>
      </c>
      <c r="F37" s="1">
        <v>0</v>
      </c>
      <c r="G37" s="1">
        <v>511430</v>
      </c>
      <c r="H37" s="1" t="s">
        <v>285</v>
      </c>
      <c r="I37" t="s">
        <v>421</v>
      </c>
    </row>
    <row r="38" spans="1:9" hidden="1" x14ac:dyDescent="0.3">
      <c r="A38" s="1" t="s">
        <v>307</v>
      </c>
      <c r="B38" s="1" t="s">
        <v>308</v>
      </c>
      <c r="D38" s="1">
        <v>75</v>
      </c>
      <c r="E38" s="1">
        <v>10493.25</v>
      </c>
      <c r="F38" s="1">
        <v>0</v>
      </c>
      <c r="G38" s="1">
        <v>786993.75</v>
      </c>
      <c r="H38" s="1">
        <v>786993.75</v>
      </c>
    </row>
    <row r="39" spans="1:9" x14ac:dyDescent="0.3">
      <c r="A39" s="1" t="s">
        <v>301</v>
      </c>
      <c r="B39" s="1" t="s">
        <v>284</v>
      </c>
      <c r="C39" s="2">
        <v>45868</v>
      </c>
      <c r="D39" s="1">
        <v>100</v>
      </c>
      <c r="E39" s="1">
        <v>8580</v>
      </c>
      <c r="F39" s="1">
        <v>0</v>
      </c>
      <c r="G39" s="1">
        <v>858000</v>
      </c>
      <c r="H39" s="1" t="s">
        <v>285</v>
      </c>
      <c r="I39" t="s">
        <v>84</v>
      </c>
    </row>
    <row r="40" spans="1:9" hidden="1" x14ac:dyDescent="0.3">
      <c r="A40" s="1" t="s">
        <v>83</v>
      </c>
      <c r="B40" s="1" t="s">
        <v>309</v>
      </c>
      <c r="D40" s="1">
        <v>25</v>
      </c>
      <c r="E40" s="1">
        <v>10378.5</v>
      </c>
      <c r="F40" s="1">
        <v>0</v>
      </c>
      <c r="G40" s="1">
        <v>259462.5</v>
      </c>
      <c r="H40" s="1">
        <v>259462.5</v>
      </c>
    </row>
    <row r="41" spans="1:9" x14ac:dyDescent="0.3">
      <c r="A41" s="1" t="s">
        <v>301</v>
      </c>
      <c r="B41" s="1" t="s">
        <v>284</v>
      </c>
      <c r="C41" s="2">
        <v>45868</v>
      </c>
      <c r="D41" s="1">
        <v>20</v>
      </c>
      <c r="E41" s="1">
        <v>13364</v>
      </c>
      <c r="F41" s="1">
        <v>0</v>
      </c>
      <c r="G41" s="1">
        <v>267280</v>
      </c>
      <c r="H41" s="1" t="s">
        <v>285</v>
      </c>
      <c r="I41" t="s">
        <v>423</v>
      </c>
    </row>
    <row r="42" spans="1:9" hidden="1" x14ac:dyDescent="0.3">
      <c r="A42" s="1" t="s">
        <v>310</v>
      </c>
      <c r="B42" s="1" t="s">
        <v>422</v>
      </c>
      <c r="D42" s="1">
        <v>125</v>
      </c>
      <c r="E42" s="1">
        <v>12303.75</v>
      </c>
      <c r="F42" s="1">
        <v>0</v>
      </c>
      <c r="G42" s="1">
        <v>1537968.75</v>
      </c>
      <c r="H42" s="1">
        <v>1537968.75</v>
      </c>
    </row>
    <row r="43" spans="1:9" x14ac:dyDescent="0.3">
      <c r="A43" s="1" t="s">
        <v>302</v>
      </c>
      <c r="B43" s="1" t="s">
        <v>284</v>
      </c>
      <c r="C43" s="2">
        <v>45869</v>
      </c>
      <c r="D43" s="1">
        <v>75</v>
      </c>
      <c r="E43" s="1">
        <v>8745</v>
      </c>
      <c r="F43" s="1">
        <v>0</v>
      </c>
      <c r="G43" s="1">
        <v>655875</v>
      </c>
      <c r="H43" s="1" t="s">
        <v>285</v>
      </c>
      <c r="I43" t="s">
        <v>172</v>
      </c>
    </row>
    <row r="44" spans="1:9" hidden="1" x14ac:dyDescent="0.3">
      <c r="A44" s="1" t="s">
        <v>171</v>
      </c>
      <c r="B44" s="1" t="s">
        <v>311</v>
      </c>
      <c r="D44" s="1">
        <v>125</v>
      </c>
      <c r="E44" s="1">
        <v>7897.6</v>
      </c>
      <c r="F44" s="1">
        <v>0</v>
      </c>
      <c r="G44" s="1">
        <v>987200</v>
      </c>
      <c r="H44" s="1">
        <v>987200</v>
      </c>
    </row>
    <row r="45" spans="1:9" x14ac:dyDescent="0.3">
      <c r="A45" s="1" t="s">
        <v>302</v>
      </c>
      <c r="B45" s="1" t="s">
        <v>284</v>
      </c>
      <c r="C45" s="2">
        <v>45869</v>
      </c>
      <c r="D45" s="1">
        <v>20</v>
      </c>
      <c r="E45" s="1">
        <v>13621</v>
      </c>
      <c r="F45" s="1">
        <v>0</v>
      </c>
      <c r="G45" s="1">
        <v>272420</v>
      </c>
      <c r="H45" s="1" t="s">
        <v>285</v>
      </c>
      <c r="I45" t="s">
        <v>424</v>
      </c>
    </row>
    <row r="46" spans="1:9" hidden="1" x14ac:dyDescent="0.3">
      <c r="A46" s="1" t="s">
        <v>312</v>
      </c>
      <c r="B46" s="1" t="s">
        <v>313</v>
      </c>
      <c r="D46" s="1">
        <v>25</v>
      </c>
      <c r="E46" s="1">
        <v>10660</v>
      </c>
      <c r="F46" s="1">
        <v>0</v>
      </c>
      <c r="G46" s="1">
        <v>266500</v>
      </c>
      <c r="H46" s="1">
        <v>266500</v>
      </c>
    </row>
    <row r="47" spans="1:9" x14ac:dyDescent="0.3">
      <c r="A47" s="4" t="s">
        <v>314</v>
      </c>
      <c r="B47" s="4" t="s">
        <v>284</v>
      </c>
      <c r="C47" s="5">
        <v>45870</v>
      </c>
      <c r="D47" s="4">
        <v>25</v>
      </c>
      <c r="E47" s="4">
        <v>8514.6</v>
      </c>
      <c r="F47" s="4">
        <v>0</v>
      </c>
      <c r="G47" s="4">
        <v>212865</v>
      </c>
      <c r="H47" s="4" t="s">
        <v>285</v>
      </c>
      <c r="I47" t="s">
        <v>47</v>
      </c>
    </row>
    <row r="48" spans="1:9" x14ac:dyDescent="0.3">
      <c r="A48" s="4" t="s">
        <v>314</v>
      </c>
      <c r="B48" s="4" t="s">
        <v>284</v>
      </c>
      <c r="C48" s="5">
        <v>45870</v>
      </c>
      <c r="D48" s="4">
        <v>40</v>
      </c>
      <c r="E48" s="4">
        <v>13731</v>
      </c>
      <c r="F48" s="4">
        <v>0</v>
      </c>
      <c r="G48" s="4">
        <v>549240</v>
      </c>
      <c r="H48" s="4" t="s">
        <v>285</v>
      </c>
      <c r="I48" t="s">
        <v>47</v>
      </c>
    </row>
    <row r="49" spans="1:9" x14ac:dyDescent="0.3">
      <c r="A49" s="4" t="s">
        <v>325</v>
      </c>
      <c r="B49" s="4" t="s">
        <v>284</v>
      </c>
      <c r="C49" s="5">
        <v>45874</v>
      </c>
      <c r="D49" s="4">
        <v>20</v>
      </c>
      <c r="E49" s="4">
        <v>14083.6</v>
      </c>
      <c r="F49" s="4">
        <v>0</v>
      </c>
      <c r="G49" s="4">
        <v>281672</v>
      </c>
      <c r="H49" s="4" t="s">
        <v>285</v>
      </c>
      <c r="I49" t="s">
        <v>47</v>
      </c>
    </row>
    <row r="50" spans="1:9" x14ac:dyDescent="0.3">
      <c r="A50" s="4" t="s">
        <v>325</v>
      </c>
      <c r="B50" s="4" t="s">
        <v>284</v>
      </c>
      <c r="C50" s="5">
        <v>45874</v>
      </c>
      <c r="D50" s="4">
        <v>25</v>
      </c>
      <c r="E50" s="4">
        <v>11275.1</v>
      </c>
      <c r="F50" s="4">
        <v>0</v>
      </c>
      <c r="G50" s="4">
        <v>281877.5</v>
      </c>
      <c r="H50" s="4" t="s">
        <v>285</v>
      </c>
      <c r="I50" t="s">
        <v>47</v>
      </c>
    </row>
    <row r="51" spans="1:9" x14ac:dyDescent="0.3">
      <c r="A51" s="4" t="s">
        <v>325</v>
      </c>
      <c r="B51" s="4" t="s">
        <v>284</v>
      </c>
      <c r="C51" s="5">
        <v>45874</v>
      </c>
      <c r="D51" s="4">
        <v>25</v>
      </c>
      <c r="E51" s="4">
        <v>13563</v>
      </c>
      <c r="F51" s="4">
        <v>0</v>
      </c>
      <c r="G51" s="4">
        <v>339075</v>
      </c>
      <c r="H51" s="4" t="s">
        <v>285</v>
      </c>
      <c r="I51" t="s">
        <v>47</v>
      </c>
    </row>
    <row r="52" spans="1:9" hidden="1" x14ac:dyDescent="0.3">
      <c r="A52" s="4" t="s">
        <v>46</v>
      </c>
      <c r="B52" s="4" t="s">
        <v>291</v>
      </c>
      <c r="D52" s="4">
        <v>275</v>
      </c>
      <c r="E52" s="4">
        <v>8208.9045000000006</v>
      </c>
      <c r="F52" s="4">
        <v>0</v>
      </c>
      <c r="G52" s="4">
        <v>2257448.75</v>
      </c>
      <c r="H52" s="4">
        <v>2257448.75</v>
      </c>
    </row>
    <row r="53" spans="1:9" x14ac:dyDescent="0.3">
      <c r="A53" s="4" t="s">
        <v>324</v>
      </c>
      <c r="B53" s="4" t="s">
        <v>284</v>
      </c>
      <c r="C53" s="5">
        <v>45877</v>
      </c>
      <c r="D53" s="4">
        <v>20</v>
      </c>
      <c r="E53" s="4">
        <v>13333</v>
      </c>
      <c r="F53" s="4">
        <v>0</v>
      </c>
      <c r="G53" s="4">
        <v>266660</v>
      </c>
      <c r="H53" s="4" t="s">
        <v>285</v>
      </c>
      <c r="I53" t="s">
        <v>30</v>
      </c>
    </row>
    <row r="54" spans="1:9" x14ac:dyDescent="0.3">
      <c r="A54" s="4" t="s">
        <v>324</v>
      </c>
      <c r="B54" s="4" t="s">
        <v>284</v>
      </c>
      <c r="C54" s="5">
        <v>45877</v>
      </c>
      <c r="D54" s="4">
        <v>20</v>
      </c>
      <c r="E54" s="4">
        <v>13775.2</v>
      </c>
      <c r="F54" s="4">
        <v>0</v>
      </c>
      <c r="G54" s="4">
        <v>275504</v>
      </c>
      <c r="H54" s="4" t="s">
        <v>285</v>
      </c>
      <c r="I54" t="s">
        <v>30</v>
      </c>
    </row>
    <row r="55" spans="1:9" x14ac:dyDescent="0.3">
      <c r="A55" s="4" t="s">
        <v>324</v>
      </c>
      <c r="B55" s="4" t="s">
        <v>284</v>
      </c>
      <c r="C55" s="5">
        <v>45877</v>
      </c>
      <c r="D55" s="4">
        <v>25</v>
      </c>
      <c r="E55" s="4">
        <v>13266</v>
      </c>
      <c r="F55" s="4">
        <v>0</v>
      </c>
      <c r="G55" s="4">
        <v>331650</v>
      </c>
      <c r="H55" s="4" t="s">
        <v>285</v>
      </c>
      <c r="I55" t="s">
        <v>30</v>
      </c>
    </row>
    <row r="56" spans="1:9" x14ac:dyDescent="0.3">
      <c r="A56" s="4" t="s">
        <v>328</v>
      </c>
      <c r="B56" s="4" t="s">
        <v>284</v>
      </c>
      <c r="C56" s="5">
        <v>45880</v>
      </c>
      <c r="D56" s="4">
        <v>25</v>
      </c>
      <c r="E56" s="4">
        <v>13216.5</v>
      </c>
      <c r="F56" s="4">
        <v>0</v>
      </c>
      <c r="G56" s="4">
        <v>330412.5</v>
      </c>
      <c r="H56" s="4" t="s">
        <v>285</v>
      </c>
      <c r="I56" t="s">
        <v>30</v>
      </c>
    </row>
    <row r="57" spans="1:9" x14ac:dyDescent="0.3">
      <c r="A57" s="4" t="s">
        <v>319</v>
      </c>
      <c r="B57" s="4" t="s">
        <v>284</v>
      </c>
      <c r="C57" s="5">
        <v>45882</v>
      </c>
      <c r="D57" s="4">
        <v>50</v>
      </c>
      <c r="E57" s="4">
        <v>8778</v>
      </c>
      <c r="F57" s="4">
        <v>0</v>
      </c>
      <c r="G57" s="4">
        <v>438900</v>
      </c>
      <c r="H57" s="4" t="s">
        <v>285</v>
      </c>
      <c r="I57" t="s">
        <v>30</v>
      </c>
    </row>
    <row r="58" spans="1:9" x14ac:dyDescent="0.3">
      <c r="A58" s="4" t="s">
        <v>319</v>
      </c>
      <c r="B58" s="4" t="s">
        <v>284</v>
      </c>
      <c r="C58" s="5">
        <v>45882</v>
      </c>
      <c r="D58" s="4">
        <v>50</v>
      </c>
      <c r="E58" s="4">
        <v>8645</v>
      </c>
      <c r="F58" s="4">
        <v>0</v>
      </c>
      <c r="G58" s="4">
        <v>432250</v>
      </c>
      <c r="H58" s="4" t="s">
        <v>285</v>
      </c>
      <c r="I58" t="s">
        <v>30</v>
      </c>
    </row>
    <row r="59" spans="1:9" x14ac:dyDescent="0.3">
      <c r="A59" s="4" t="s">
        <v>315</v>
      </c>
      <c r="B59" s="4" t="s">
        <v>284</v>
      </c>
      <c r="C59" s="5">
        <v>45883</v>
      </c>
      <c r="D59" s="4">
        <v>75</v>
      </c>
      <c r="E59" s="4">
        <v>8206.1</v>
      </c>
      <c r="F59" s="4">
        <v>0</v>
      </c>
      <c r="G59" s="4">
        <v>615457.5</v>
      </c>
      <c r="H59" s="4" t="s">
        <v>285</v>
      </c>
      <c r="I59" t="s">
        <v>30</v>
      </c>
    </row>
    <row r="60" spans="1:9" hidden="1" x14ac:dyDescent="0.3">
      <c r="A60" s="4" t="s">
        <v>29</v>
      </c>
      <c r="B60" s="4" t="s">
        <v>303</v>
      </c>
      <c r="D60" s="4">
        <v>475</v>
      </c>
      <c r="E60" s="4">
        <v>8743.1052999999993</v>
      </c>
      <c r="F60" s="4">
        <v>0</v>
      </c>
      <c r="G60" s="4">
        <v>4152975</v>
      </c>
      <c r="H60" s="4">
        <v>4152975</v>
      </c>
    </row>
    <row r="61" spans="1:9" x14ac:dyDescent="0.3">
      <c r="A61" s="4" t="s">
        <v>315</v>
      </c>
      <c r="B61" s="4" t="s">
        <v>284</v>
      </c>
      <c r="C61" s="5">
        <v>45883</v>
      </c>
      <c r="D61" s="4">
        <v>75</v>
      </c>
      <c r="E61" s="4">
        <v>8645</v>
      </c>
      <c r="F61" s="4">
        <v>0</v>
      </c>
      <c r="G61" s="4">
        <v>648375</v>
      </c>
      <c r="H61" s="4" t="s">
        <v>285</v>
      </c>
      <c r="I61" t="s">
        <v>50</v>
      </c>
    </row>
    <row r="62" spans="1:9" x14ac:dyDescent="0.3">
      <c r="A62" s="4" t="s">
        <v>320</v>
      </c>
      <c r="B62" s="4" t="s">
        <v>284</v>
      </c>
      <c r="C62" s="5">
        <v>45884</v>
      </c>
      <c r="D62" s="4">
        <v>75</v>
      </c>
      <c r="E62" s="4">
        <v>8646</v>
      </c>
      <c r="F62" s="4">
        <v>0</v>
      </c>
      <c r="G62" s="4">
        <v>648450</v>
      </c>
      <c r="H62" s="4" t="s">
        <v>285</v>
      </c>
      <c r="I62" t="s">
        <v>50</v>
      </c>
    </row>
    <row r="63" spans="1:9" x14ac:dyDescent="0.3">
      <c r="A63" s="4" t="s">
        <v>320</v>
      </c>
      <c r="B63" s="4" t="s">
        <v>284</v>
      </c>
      <c r="C63" s="5">
        <v>45884</v>
      </c>
      <c r="D63" s="4">
        <v>20</v>
      </c>
      <c r="E63" s="4">
        <v>13466.8</v>
      </c>
      <c r="F63" s="4">
        <v>0</v>
      </c>
      <c r="G63" s="4">
        <v>269336</v>
      </c>
      <c r="H63" s="4" t="s">
        <v>285</v>
      </c>
      <c r="I63" t="s">
        <v>50</v>
      </c>
    </row>
    <row r="64" spans="1:9" hidden="1" x14ac:dyDescent="0.3">
      <c r="A64" s="4" t="s">
        <v>49</v>
      </c>
      <c r="B64" s="4" t="s">
        <v>304</v>
      </c>
      <c r="D64" s="4">
        <v>80</v>
      </c>
      <c r="E64" s="4">
        <v>13494.6875</v>
      </c>
      <c r="F64" s="4">
        <v>0</v>
      </c>
      <c r="G64" s="4">
        <v>1079575</v>
      </c>
      <c r="H64" s="4">
        <v>1079575</v>
      </c>
    </row>
    <row r="65" spans="1:9" x14ac:dyDescent="0.3">
      <c r="A65" s="4" t="s">
        <v>320</v>
      </c>
      <c r="B65" s="4" t="s">
        <v>284</v>
      </c>
      <c r="C65" s="5">
        <v>45884</v>
      </c>
      <c r="D65" s="4">
        <v>75</v>
      </c>
      <c r="E65" s="4">
        <v>10480</v>
      </c>
      <c r="F65" s="4">
        <v>0</v>
      </c>
      <c r="G65" s="4">
        <v>786000</v>
      </c>
      <c r="H65" s="4" t="s">
        <v>285</v>
      </c>
      <c r="I65" t="s">
        <v>420</v>
      </c>
    </row>
    <row r="66" spans="1:9" x14ac:dyDescent="0.3">
      <c r="A66" s="4" t="s">
        <v>321</v>
      </c>
      <c r="B66" s="4" t="s">
        <v>284</v>
      </c>
      <c r="C66" s="5">
        <v>45887</v>
      </c>
      <c r="D66" s="4">
        <v>50</v>
      </c>
      <c r="E66" s="4">
        <v>8646</v>
      </c>
      <c r="F66" s="4">
        <v>0</v>
      </c>
      <c r="G66" s="4">
        <v>432300</v>
      </c>
      <c r="H66" s="4" t="s">
        <v>285</v>
      </c>
      <c r="I66" t="s">
        <v>420</v>
      </c>
    </row>
    <row r="67" spans="1:9" x14ac:dyDescent="0.3">
      <c r="A67" s="4" t="s">
        <v>321</v>
      </c>
      <c r="B67" s="4" t="s">
        <v>284</v>
      </c>
      <c r="C67" s="5">
        <v>45887</v>
      </c>
      <c r="D67" s="4">
        <v>20</v>
      </c>
      <c r="E67" s="4">
        <v>13466.8</v>
      </c>
      <c r="F67" s="4">
        <v>0</v>
      </c>
      <c r="G67" s="4">
        <v>269336</v>
      </c>
      <c r="H67" s="4" t="s">
        <v>285</v>
      </c>
      <c r="I67" t="s">
        <v>420</v>
      </c>
    </row>
    <row r="68" spans="1:9" x14ac:dyDescent="0.3">
      <c r="A68" s="4" t="s">
        <v>331</v>
      </c>
      <c r="B68" s="4" t="s">
        <v>284</v>
      </c>
      <c r="C68" s="5">
        <v>45887</v>
      </c>
      <c r="D68" s="4">
        <v>25</v>
      </c>
      <c r="E68" s="4">
        <v>13296.5</v>
      </c>
      <c r="F68" s="4">
        <v>0</v>
      </c>
      <c r="G68" s="4">
        <v>332412.5</v>
      </c>
      <c r="H68" s="4" t="s">
        <v>285</v>
      </c>
      <c r="I68" t="s">
        <v>420</v>
      </c>
    </row>
    <row r="69" spans="1:9" x14ac:dyDescent="0.3">
      <c r="A69" s="4" t="s">
        <v>316</v>
      </c>
      <c r="B69" s="4" t="s">
        <v>284</v>
      </c>
      <c r="C69" s="5">
        <v>45888</v>
      </c>
      <c r="D69" s="4">
        <v>75</v>
      </c>
      <c r="E69" s="4">
        <v>8113.55</v>
      </c>
      <c r="F69" s="4">
        <v>0</v>
      </c>
      <c r="G69" s="4">
        <v>608516.25</v>
      </c>
      <c r="H69" s="4" t="s">
        <v>285</v>
      </c>
      <c r="I69" t="s">
        <v>420</v>
      </c>
    </row>
    <row r="70" spans="1:9" x14ac:dyDescent="0.3">
      <c r="A70" s="4" t="s">
        <v>317</v>
      </c>
      <c r="B70" s="4" t="s">
        <v>284</v>
      </c>
      <c r="C70" s="5">
        <v>45889</v>
      </c>
      <c r="D70" s="4">
        <v>50</v>
      </c>
      <c r="E70" s="4">
        <v>8113.55</v>
      </c>
      <c r="F70" s="4">
        <v>0</v>
      </c>
      <c r="G70" s="4">
        <v>405677.5</v>
      </c>
      <c r="H70" s="4" t="s">
        <v>285</v>
      </c>
      <c r="I70" t="s">
        <v>420</v>
      </c>
    </row>
    <row r="71" spans="1:9" x14ac:dyDescent="0.3">
      <c r="A71" s="4" t="s">
        <v>317</v>
      </c>
      <c r="B71" s="4" t="s">
        <v>284</v>
      </c>
      <c r="C71" s="5">
        <v>45889</v>
      </c>
      <c r="D71" s="4">
        <v>75</v>
      </c>
      <c r="E71" s="4">
        <v>8679</v>
      </c>
      <c r="F71" s="4">
        <v>0</v>
      </c>
      <c r="G71" s="4">
        <v>650925</v>
      </c>
      <c r="H71" s="4" t="s">
        <v>285</v>
      </c>
      <c r="I71" t="s">
        <v>420</v>
      </c>
    </row>
    <row r="72" spans="1:9" hidden="1" x14ac:dyDescent="0.3">
      <c r="A72" s="4" t="s">
        <v>58</v>
      </c>
      <c r="B72" s="4" t="s">
        <v>305</v>
      </c>
      <c r="D72" s="4">
        <v>140</v>
      </c>
      <c r="E72" s="4">
        <v>13745.828600000001</v>
      </c>
      <c r="F72" s="4">
        <v>0</v>
      </c>
      <c r="G72" s="4">
        <v>1924416</v>
      </c>
      <c r="H72" s="4">
        <v>1924416</v>
      </c>
    </row>
    <row r="73" spans="1:9" x14ac:dyDescent="0.3">
      <c r="A73" s="4" t="s">
        <v>317</v>
      </c>
      <c r="B73" s="4" t="s">
        <v>284</v>
      </c>
      <c r="C73" s="5">
        <v>45889</v>
      </c>
      <c r="D73" s="4">
        <v>20</v>
      </c>
      <c r="E73" s="4">
        <v>13518.2</v>
      </c>
      <c r="F73" s="4">
        <v>0</v>
      </c>
      <c r="G73" s="4">
        <v>270364</v>
      </c>
      <c r="H73" s="4" t="s">
        <v>285</v>
      </c>
      <c r="I73" t="s">
        <v>130</v>
      </c>
    </row>
    <row r="74" spans="1:9" hidden="1" x14ac:dyDescent="0.3">
      <c r="A74" s="4" t="s">
        <v>129</v>
      </c>
      <c r="B74" s="4" t="s">
        <v>327</v>
      </c>
      <c r="D74" s="4">
        <v>25</v>
      </c>
      <c r="E74" s="4">
        <v>12212.8</v>
      </c>
      <c r="F74" s="4">
        <v>0</v>
      </c>
      <c r="G74" s="4">
        <v>305320</v>
      </c>
      <c r="H74" s="4">
        <v>305320</v>
      </c>
    </row>
    <row r="75" spans="1:9" x14ac:dyDescent="0.3">
      <c r="A75" s="4" t="s">
        <v>322</v>
      </c>
      <c r="B75" s="4" t="s">
        <v>284</v>
      </c>
      <c r="C75" s="5">
        <v>45891</v>
      </c>
      <c r="D75" s="4">
        <v>75</v>
      </c>
      <c r="E75" s="4">
        <v>8745</v>
      </c>
      <c r="F75" s="4">
        <v>0</v>
      </c>
      <c r="G75" s="4">
        <v>655875</v>
      </c>
      <c r="H75" s="4" t="s">
        <v>285</v>
      </c>
      <c r="I75" t="s">
        <v>421</v>
      </c>
    </row>
    <row r="76" spans="1:9" x14ac:dyDescent="0.3">
      <c r="A76" s="4" t="s">
        <v>322</v>
      </c>
      <c r="B76" s="4" t="s">
        <v>284</v>
      </c>
      <c r="C76" s="5">
        <v>45891</v>
      </c>
      <c r="D76" s="4">
        <v>20</v>
      </c>
      <c r="E76" s="4">
        <v>13183.75</v>
      </c>
      <c r="F76" s="4">
        <v>0</v>
      </c>
      <c r="G76" s="4">
        <v>263675</v>
      </c>
      <c r="H76" s="4" t="s">
        <v>285</v>
      </c>
      <c r="I76" t="s">
        <v>421</v>
      </c>
    </row>
    <row r="77" spans="1:9" hidden="1" x14ac:dyDescent="0.3">
      <c r="A77" s="4" t="s">
        <v>307</v>
      </c>
      <c r="B77" s="4" t="s">
        <v>308</v>
      </c>
      <c r="D77" s="4">
        <v>50</v>
      </c>
      <c r="E77" s="4">
        <v>11089.924999999999</v>
      </c>
      <c r="F77" s="4">
        <v>0</v>
      </c>
      <c r="G77" s="4">
        <v>554496.25</v>
      </c>
      <c r="H77" s="4">
        <v>554496.25</v>
      </c>
    </row>
    <row r="78" spans="1:9" x14ac:dyDescent="0.3">
      <c r="A78" s="4" t="s">
        <v>322</v>
      </c>
      <c r="B78" s="4" t="s">
        <v>284</v>
      </c>
      <c r="C78" s="5">
        <v>45891</v>
      </c>
      <c r="D78" s="4">
        <v>25</v>
      </c>
      <c r="E78" s="4">
        <v>10904.75</v>
      </c>
      <c r="F78" s="4">
        <v>0</v>
      </c>
      <c r="G78" s="4">
        <v>272618.75</v>
      </c>
      <c r="H78" s="4" t="s">
        <v>285</v>
      </c>
      <c r="I78" t="s">
        <v>236</v>
      </c>
    </row>
    <row r="79" spans="1:9" x14ac:dyDescent="0.3">
      <c r="A79" s="4" t="s">
        <v>323</v>
      </c>
      <c r="B79" s="4" t="s">
        <v>284</v>
      </c>
      <c r="C79" s="5">
        <v>45895</v>
      </c>
      <c r="D79" s="4">
        <v>75</v>
      </c>
      <c r="E79" s="4">
        <v>9042</v>
      </c>
      <c r="F79" s="4">
        <v>0</v>
      </c>
      <c r="G79" s="4">
        <v>678150</v>
      </c>
      <c r="H79" s="4" t="s">
        <v>285</v>
      </c>
      <c r="I79" t="s">
        <v>236</v>
      </c>
    </row>
    <row r="80" spans="1:9" x14ac:dyDescent="0.3">
      <c r="A80" s="4" t="s">
        <v>323</v>
      </c>
      <c r="B80" s="4" t="s">
        <v>284</v>
      </c>
      <c r="C80" s="5">
        <v>45895</v>
      </c>
      <c r="D80" s="4">
        <v>20</v>
      </c>
      <c r="E80" s="4">
        <v>14083.6</v>
      </c>
      <c r="F80" s="4">
        <v>0</v>
      </c>
      <c r="G80" s="4">
        <v>281672</v>
      </c>
      <c r="H80" s="4" t="s">
        <v>285</v>
      </c>
      <c r="I80" t="s">
        <v>236</v>
      </c>
    </row>
    <row r="81" spans="1:9" hidden="1" x14ac:dyDescent="0.3">
      <c r="A81" s="4" t="s">
        <v>235</v>
      </c>
      <c r="B81" s="4" t="s">
        <v>329</v>
      </c>
      <c r="D81" s="4">
        <v>75</v>
      </c>
      <c r="E81" s="4">
        <v>13348.5</v>
      </c>
      <c r="F81" s="4">
        <v>0</v>
      </c>
      <c r="G81" s="4">
        <v>1001137.5</v>
      </c>
      <c r="H81" s="4">
        <v>1001137.5</v>
      </c>
    </row>
    <row r="82" spans="1:9" x14ac:dyDescent="0.3">
      <c r="A82" s="4" t="s">
        <v>323</v>
      </c>
      <c r="B82" s="4" t="s">
        <v>284</v>
      </c>
      <c r="C82" s="5">
        <v>45895</v>
      </c>
      <c r="D82" s="4">
        <v>75</v>
      </c>
      <c r="E82" s="4">
        <v>8905</v>
      </c>
      <c r="F82" s="4">
        <v>0</v>
      </c>
      <c r="G82" s="4">
        <v>667875</v>
      </c>
      <c r="H82" s="4" t="s">
        <v>285</v>
      </c>
      <c r="I82" t="s">
        <v>32</v>
      </c>
    </row>
    <row r="83" spans="1:9" hidden="1" x14ac:dyDescent="0.3">
      <c r="A83" s="4" t="s">
        <v>31</v>
      </c>
      <c r="B83" s="4" t="s">
        <v>330</v>
      </c>
      <c r="D83" s="4">
        <v>75</v>
      </c>
      <c r="E83" s="4">
        <v>10480</v>
      </c>
      <c r="F83" s="4">
        <v>0</v>
      </c>
      <c r="G83" s="4">
        <v>786000</v>
      </c>
      <c r="H83" s="4">
        <v>786000</v>
      </c>
    </row>
    <row r="84" spans="1:9" x14ac:dyDescent="0.3">
      <c r="A84" s="4" t="s">
        <v>318</v>
      </c>
      <c r="B84" s="4" t="s">
        <v>284</v>
      </c>
      <c r="C84" s="5">
        <v>45898</v>
      </c>
      <c r="D84" s="4">
        <v>50</v>
      </c>
      <c r="E84" s="4">
        <v>8298.65</v>
      </c>
      <c r="F84" s="4">
        <v>0</v>
      </c>
      <c r="G84" s="4">
        <v>414932.5</v>
      </c>
      <c r="H84" s="4" t="s">
        <v>285</v>
      </c>
      <c r="I84" t="s">
        <v>260</v>
      </c>
    </row>
    <row r="85" spans="1:9" hidden="1" x14ac:dyDescent="0.3">
      <c r="A85" s="4" t="s">
        <v>259</v>
      </c>
      <c r="B85" s="4" t="s">
        <v>332</v>
      </c>
      <c r="D85" s="4">
        <v>25</v>
      </c>
      <c r="E85" s="4">
        <v>13296.5</v>
      </c>
      <c r="F85" s="4">
        <v>0</v>
      </c>
      <c r="G85" s="4">
        <v>332412.5</v>
      </c>
      <c r="H85" s="4">
        <v>332412.5</v>
      </c>
    </row>
    <row r="86" spans="1:9" x14ac:dyDescent="0.3">
      <c r="A86" s="4" t="s">
        <v>318</v>
      </c>
      <c r="B86" s="4" t="s">
        <v>284</v>
      </c>
      <c r="C86" s="5">
        <v>45898</v>
      </c>
      <c r="D86" s="4">
        <v>20</v>
      </c>
      <c r="E86" s="4">
        <v>13826.6</v>
      </c>
      <c r="F86" s="4">
        <v>0</v>
      </c>
      <c r="G86" s="4">
        <v>276532</v>
      </c>
      <c r="H86" s="4" t="s">
        <v>285</v>
      </c>
      <c r="I86" t="s">
        <v>172</v>
      </c>
    </row>
    <row r="87" spans="1:9" x14ac:dyDescent="0.3">
      <c r="A87" s="4" t="s">
        <v>326</v>
      </c>
      <c r="B87" s="4" t="s">
        <v>284</v>
      </c>
      <c r="C87" s="5">
        <v>45898</v>
      </c>
      <c r="D87" s="4">
        <v>25</v>
      </c>
      <c r="E87" s="4">
        <v>12212.8</v>
      </c>
      <c r="F87" s="4">
        <v>0</v>
      </c>
      <c r="G87" s="4">
        <v>305320</v>
      </c>
      <c r="H87" s="4" t="s">
        <v>285</v>
      </c>
      <c r="I87" t="s">
        <v>172</v>
      </c>
    </row>
    <row r="88" spans="1:9" hidden="1" x14ac:dyDescent="0.3">
      <c r="A88" s="4" t="s">
        <v>171</v>
      </c>
      <c r="B88" s="4" t="s">
        <v>311</v>
      </c>
      <c r="D88" s="4">
        <v>125</v>
      </c>
      <c r="E88" s="4">
        <v>8801</v>
      </c>
      <c r="F88" s="4">
        <v>0</v>
      </c>
      <c r="G88" s="4">
        <v>1100125</v>
      </c>
      <c r="H88" s="4">
        <v>1100125</v>
      </c>
    </row>
    <row r="89" spans="1:9" x14ac:dyDescent="0.3">
      <c r="A89" s="4" t="s">
        <v>333</v>
      </c>
      <c r="B89" s="4" t="s">
        <v>284</v>
      </c>
      <c r="C89" s="5">
        <v>45901</v>
      </c>
      <c r="D89" s="4">
        <v>25</v>
      </c>
      <c r="E89" s="4">
        <v>8391.2000000000007</v>
      </c>
      <c r="F89" s="4">
        <v>0</v>
      </c>
      <c r="G89" s="4">
        <v>209780</v>
      </c>
      <c r="H89" s="4" t="s">
        <v>285</v>
      </c>
      <c r="I89" t="s">
        <v>47</v>
      </c>
    </row>
    <row r="90" spans="1:9" x14ac:dyDescent="0.3">
      <c r="A90" s="4" t="s">
        <v>333</v>
      </c>
      <c r="B90" s="4" t="s">
        <v>284</v>
      </c>
      <c r="C90" s="5">
        <v>45901</v>
      </c>
      <c r="D90" s="4">
        <v>20</v>
      </c>
      <c r="E90" s="4">
        <v>13532</v>
      </c>
      <c r="F90" s="4">
        <v>0</v>
      </c>
      <c r="G90" s="4">
        <v>270640</v>
      </c>
      <c r="H90" s="4" t="s">
        <v>285</v>
      </c>
      <c r="I90" t="s">
        <v>47</v>
      </c>
    </row>
    <row r="91" spans="1:9" x14ac:dyDescent="0.3">
      <c r="A91" s="4" t="s">
        <v>333</v>
      </c>
      <c r="B91" s="4" t="s">
        <v>284</v>
      </c>
      <c r="C91" s="5">
        <v>45901</v>
      </c>
      <c r="D91" s="4">
        <v>75</v>
      </c>
      <c r="E91" s="4">
        <v>10880</v>
      </c>
      <c r="F91" s="4">
        <v>0</v>
      </c>
      <c r="G91" s="4">
        <v>816000</v>
      </c>
      <c r="H91" s="4" t="s">
        <v>285</v>
      </c>
      <c r="I91" t="s">
        <v>47</v>
      </c>
    </row>
    <row r="92" spans="1:9" x14ac:dyDescent="0.3">
      <c r="A92" s="4" t="s">
        <v>341</v>
      </c>
      <c r="B92" s="4" t="s">
        <v>284</v>
      </c>
      <c r="C92" s="5">
        <v>45902</v>
      </c>
      <c r="D92" s="4">
        <v>125</v>
      </c>
      <c r="E92" s="4">
        <v>9141</v>
      </c>
      <c r="F92" s="4">
        <v>0</v>
      </c>
      <c r="G92" s="4">
        <v>1142625</v>
      </c>
      <c r="H92" s="4" t="s">
        <v>285</v>
      </c>
      <c r="I92" t="s">
        <v>47</v>
      </c>
    </row>
    <row r="93" spans="1:9" x14ac:dyDescent="0.3">
      <c r="A93" s="4" t="s">
        <v>334</v>
      </c>
      <c r="B93" s="4" t="s">
        <v>284</v>
      </c>
      <c r="C93" s="5">
        <v>45903</v>
      </c>
      <c r="D93" s="4">
        <v>50</v>
      </c>
      <c r="E93" s="4">
        <v>8483.75</v>
      </c>
      <c r="F93" s="4">
        <v>0</v>
      </c>
      <c r="G93" s="4">
        <v>424187.5</v>
      </c>
      <c r="H93" s="4" t="s">
        <v>285</v>
      </c>
      <c r="I93" t="s">
        <v>47</v>
      </c>
    </row>
    <row r="94" spans="1:9" x14ac:dyDescent="0.3">
      <c r="A94" s="4" t="s">
        <v>342</v>
      </c>
      <c r="B94" s="4" t="s">
        <v>284</v>
      </c>
      <c r="C94" s="5">
        <v>45905</v>
      </c>
      <c r="D94" s="4">
        <v>100</v>
      </c>
      <c r="E94" s="4">
        <v>10312.5</v>
      </c>
      <c r="F94" s="4">
        <v>0</v>
      </c>
      <c r="G94" s="4">
        <v>1031250</v>
      </c>
      <c r="H94" s="4" t="s">
        <v>285</v>
      </c>
      <c r="I94" t="s">
        <v>47</v>
      </c>
    </row>
    <row r="95" spans="1:9" x14ac:dyDescent="0.3">
      <c r="A95" s="4" t="s">
        <v>342</v>
      </c>
      <c r="B95" s="4" t="s">
        <v>284</v>
      </c>
      <c r="C95" s="5">
        <v>45905</v>
      </c>
      <c r="D95" s="4">
        <v>20</v>
      </c>
      <c r="E95" s="4">
        <v>13681.25</v>
      </c>
      <c r="F95" s="4">
        <v>0</v>
      </c>
      <c r="G95" s="4">
        <v>273625</v>
      </c>
      <c r="H95" s="4" t="s">
        <v>285</v>
      </c>
      <c r="I95" t="s">
        <v>47</v>
      </c>
    </row>
    <row r="96" spans="1:9" x14ac:dyDescent="0.3">
      <c r="A96" s="4" t="s">
        <v>349</v>
      </c>
      <c r="B96" s="4" t="s">
        <v>284</v>
      </c>
      <c r="C96" s="5">
        <v>45908</v>
      </c>
      <c r="D96" s="4">
        <v>20</v>
      </c>
      <c r="E96" s="4">
        <v>14186.4</v>
      </c>
      <c r="F96" s="4">
        <v>0</v>
      </c>
      <c r="G96" s="4">
        <v>283728</v>
      </c>
      <c r="H96" s="4" t="s">
        <v>285</v>
      </c>
      <c r="I96" t="s">
        <v>47</v>
      </c>
    </row>
    <row r="97" spans="1:9" hidden="1" x14ac:dyDescent="0.3">
      <c r="A97" s="4" t="s">
        <v>46</v>
      </c>
      <c r="B97" s="4" t="s">
        <v>291</v>
      </c>
      <c r="D97" s="4">
        <v>350</v>
      </c>
      <c r="E97" s="4">
        <v>8765.8071</v>
      </c>
      <c r="F97" s="4">
        <v>0</v>
      </c>
      <c r="G97" s="4">
        <v>3068032.5</v>
      </c>
      <c r="H97" s="4">
        <v>3068032.5</v>
      </c>
    </row>
    <row r="98" spans="1:9" x14ac:dyDescent="0.3">
      <c r="A98" s="4" t="s">
        <v>349</v>
      </c>
      <c r="B98" s="4" t="s">
        <v>284</v>
      </c>
      <c r="C98" s="5">
        <v>45908</v>
      </c>
      <c r="D98" s="4">
        <v>25</v>
      </c>
      <c r="E98" s="4">
        <v>8914.7999999999993</v>
      </c>
      <c r="F98" s="4">
        <v>0</v>
      </c>
      <c r="G98" s="4">
        <v>222870</v>
      </c>
      <c r="H98" s="4" t="s">
        <v>285</v>
      </c>
      <c r="I98" t="s">
        <v>30</v>
      </c>
    </row>
    <row r="99" spans="1:9" x14ac:dyDescent="0.3">
      <c r="A99" s="4" t="s">
        <v>346</v>
      </c>
      <c r="B99" s="4" t="s">
        <v>284</v>
      </c>
      <c r="C99" s="5">
        <v>45912</v>
      </c>
      <c r="D99" s="4">
        <v>20</v>
      </c>
      <c r="E99" s="4">
        <v>14377.75</v>
      </c>
      <c r="F99" s="4">
        <v>0</v>
      </c>
      <c r="G99" s="4">
        <v>287555</v>
      </c>
      <c r="H99" s="4" t="s">
        <v>285</v>
      </c>
      <c r="I99" t="s">
        <v>30</v>
      </c>
    </row>
    <row r="100" spans="1:9" x14ac:dyDescent="0.3">
      <c r="A100" s="4" t="s">
        <v>350</v>
      </c>
      <c r="B100" s="4" t="s">
        <v>284</v>
      </c>
      <c r="C100" s="5">
        <v>45912</v>
      </c>
      <c r="D100" s="4">
        <v>20</v>
      </c>
      <c r="E100" s="4">
        <v>15060.2</v>
      </c>
      <c r="F100" s="4">
        <v>0</v>
      </c>
      <c r="G100" s="4">
        <v>301204</v>
      </c>
      <c r="H100" s="4" t="s">
        <v>285</v>
      </c>
      <c r="I100" t="s">
        <v>30</v>
      </c>
    </row>
    <row r="101" spans="1:9" x14ac:dyDescent="0.3">
      <c r="A101" s="4" t="s">
        <v>346</v>
      </c>
      <c r="B101" s="4" t="s">
        <v>284</v>
      </c>
      <c r="C101" s="5">
        <v>45912</v>
      </c>
      <c r="D101" s="4">
        <v>75</v>
      </c>
      <c r="E101" s="4">
        <v>9392.5</v>
      </c>
      <c r="F101" s="4">
        <v>0</v>
      </c>
      <c r="G101" s="4">
        <v>704437.5</v>
      </c>
      <c r="H101" s="4" t="s">
        <v>285</v>
      </c>
      <c r="I101" t="s">
        <v>30</v>
      </c>
    </row>
    <row r="102" spans="1:9" x14ac:dyDescent="0.3">
      <c r="A102" s="4" t="s">
        <v>335</v>
      </c>
      <c r="B102" s="4" t="s">
        <v>284</v>
      </c>
      <c r="C102" s="5">
        <v>45915</v>
      </c>
      <c r="D102" s="4">
        <v>50</v>
      </c>
      <c r="E102" s="4">
        <v>9039.0499999999993</v>
      </c>
      <c r="F102" s="4">
        <v>0</v>
      </c>
      <c r="G102" s="4">
        <v>451952.5</v>
      </c>
      <c r="H102" s="4" t="s">
        <v>285</v>
      </c>
      <c r="I102" t="s">
        <v>30</v>
      </c>
    </row>
    <row r="103" spans="1:9" x14ac:dyDescent="0.3">
      <c r="A103" s="4" t="s">
        <v>335</v>
      </c>
      <c r="B103" s="4" t="s">
        <v>284</v>
      </c>
      <c r="C103" s="5">
        <v>45915</v>
      </c>
      <c r="D103" s="4">
        <v>125</v>
      </c>
      <c r="E103" s="4">
        <v>9669</v>
      </c>
      <c r="F103" s="4">
        <v>0</v>
      </c>
      <c r="G103" s="4">
        <v>1208625</v>
      </c>
      <c r="H103" s="4" t="s">
        <v>285</v>
      </c>
      <c r="I103" t="s">
        <v>30</v>
      </c>
    </row>
    <row r="104" spans="1:9" x14ac:dyDescent="0.3">
      <c r="A104" s="4" t="s">
        <v>343</v>
      </c>
      <c r="B104" s="4" t="s">
        <v>284</v>
      </c>
      <c r="C104" s="5">
        <v>45915</v>
      </c>
      <c r="D104" s="4">
        <v>50</v>
      </c>
      <c r="E104" s="4">
        <v>9669</v>
      </c>
      <c r="F104" s="4">
        <v>0</v>
      </c>
      <c r="G104" s="4">
        <v>483450</v>
      </c>
      <c r="H104" s="4" t="s">
        <v>285</v>
      </c>
      <c r="I104" t="s">
        <v>30</v>
      </c>
    </row>
    <row r="105" spans="1:9" hidden="1" x14ac:dyDescent="0.3">
      <c r="A105" s="4" t="s">
        <v>29</v>
      </c>
      <c r="B105" s="4" t="s">
        <v>303</v>
      </c>
      <c r="D105" s="4">
        <v>700</v>
      </c>
      <c r="E105" s="4">
        <v>9699.6429000000007</v>
      </c>
      <c r="F105" s="4">
        <v>0</v>
      </c>
      <c r="G105" s="4">
        <v>6789750</v>
      </c>
      <c r="H105" s="4">
        <v>6789750</v>
      </c>
    </row>
    <row r="106" spans="1:9" x14ac:dyDescent="0.3">
      <c r="A106" s="4" t="s">
        <v>335</v>
      </c>
      <c r="B106" s="4" t="s">
        <v>284</v>
      </c>
      <c r="C106" s="5">
        <v>45915</v>
      </c>
      <c r="D106" s="4">
        <v>20</v>
      </c>
      <c r="E106" s="4">
        <v>15060.2</v>
      </c>
      <c r="F106" s="4">
        <v>0</v>
      </c>
      <c r="G106" s="4">
        <v>301204</v>
      </c>
      <c r="H106" s="4" t="s">
        <v>285</v>
      </c>
      <c r="I106" t="s">
        <v>50</v>
      </c>
    </row>
    <row r="107" spans="1:9" x14ac:dyDescent="0.3">
      <c r="A107" s="4" t="s">
        <v>344</v>
      </c>
      <c r="B107" s="4" t="s">
        <v>284</v>
      </c>
      <c r="C107" s="5">
        <v>45916</v>
      </c>
      <c r="D107" s="4">
        <v>75</v>
      </c>
      <c r="E107" s="4">
        <v>9735</v>
      </c>
      <c r="F107" s="4">
        <v>0</v>
      </c>
      <c r="G107" s="4">
        <v>730125</v>
      </c>
      <c r="H107" s="4" t="s">
        <v>285</v>
      </c>
      <c r="I107" t="s">
        <v>50</v>
      </c>
    </row>
    <row r="108" spans="1:9" x14ac:dyDescent="0.3">
      <c r="A108" s="4" t="s">
        <v>344</v>
      </c>
      <c r="B108" s="4" t="s">
        <v>284</v>
      </c>
      <c r="C108" s="5">
        <v>45916</v>
      </c>
      <c r="D108" s="4">
        <v>20</v>
      </c>
      <c r="E108" s="4">
        <v>15163</v>
      </c>
      <c r="F108" s="4">
        <v>0</v>
      </c>
      <c r="G108" s="4">
        <v>303260</v>
      </c>
      <c r="H108" s="4" t="s">
        <v>285</v>
      </c>
      <c r="I108" t="s">
        <v>50</v>
      </c>
    </row>
    <row r="109" spans="1:9" x14ac:dyDescent="0.3">
      <c r="A109" s="4" t="s">
        <v>353</v>
      </c>
      <c r="B109" s="4" t="s">
        <v>284</v>
      </c>
      <c r="C109" s="5">
        <v>45917</v>
      </c>
      <c r="D109" s="4">
        <v>75</v>
      </c>
      <c r="E109" s="4">
        <v>9620</v>
      </c>
      <c r="F109" s="4">
        <v>0</v>
      </c>
      <c r="G109" s="4">
        <v>721500</v>
      </c>
      <c r="H109" s="4" t="s">
        <v>285</v>
      </c>
      <c r="I109" t="s">
        <v>50</v>
      </c>
    </row>
    <row r="110" spans="1:9" x14ac:dyDescent="0.3">
      <c r="A110" s="4" t="s">
        <v>336</v>
      </c>
      <c r="B110" s="4" t="s">
        <v>284</v>
      </c>
      <c r="C110" s="5">
        <v>45918</v>
      </c>
      <c r="D110" s="4">
        <v>50</v>
      </c>
      <c r="E110" s="4">
        <v>9162.4500000000007</v>
      </c>
      <c r="F110" s="4">
        <v>0</v>
      </c>
      <c r="G110" s="4">
        <v>458122.5</v>
      </c>
      <c r="H110" s="4" t="s">
        <v>285</v>
      </c>
      <c r="I110" t="s">
        <v>50</v>
      </c>
    </row>
    <row r="111" spans="1:9" hidden="1" x14ac:dyDescent="0.3">
      <c r="A111" s="4" t="s">
        <v>49</v>
      </c>
      <c r="B111" s="4" t="s">
        <v>304</v>
      </c>
      <c r="D111" s="4">
        <v>140</v>
      </c>
      <c r="E111" s="4">
        <v>14043.7143</v>
      </c>
      <c r="F111" s="4">
        <v>0</v>
      </c>
      <c r="G111" s="4">
        <v>1966120</v>
      </c>
      <c r="H111" s="4">
        <v>1966120</v>
      </c>
    </row>
    <row r="112" spans="1:9" x14ac:dyDescent="0.3">
      <c r="A112" s="4" t="s">
        <v>347</v>
      </c>
      <c r="B112" s="4" t="s">
        <v>284</v>
      </c>
      <c r="C112" s="5">
        <v>45919</v>
      </c>
      <c r="D112" s="4">
        <v>40</v>
      </c>
      <c r="E112" s="4">
        <v>14875.25</v>
      </c>
      <c r="F112" s="4">
        <v>0</v>
      </c>
      <c r="G112" s="4">
        <v>595010</v>
      </c>
      <c r="H112" s="4" t="s">
        <v>285</v>
      </c>
      <c r="I112" t="s">
        <v>420</v>
      </c>
    </row>
    <row r="113" spans="1:9" x14ac:dyDescent="0.3">
      <c r="A113" s="4" t="s">
        <v>347</v>
      </c>
      <c r="B113" s="4" t="s">
        <v>284</v>
      </c>
      <c r="C113" s="5">
        <v>45919</v>
      </c>
      <c r="D113" s="4">
        <v>20</v>
      </c>
      <c r="E113" s="4">
        <v>15368.6</v>
      </c>
      <c r="F113" s="4">
        <v>0</v>
      </c>
      <c r="G113" s="4">
        <v>307372</v>
      </c>
      <c r="H113" s="4" t="s">
        <v>285</v>
      </c>
      <c r="I113" t="s">
        <v>420</v>
      </c>
    </row>
    <row r="114" spans="1:9" x14ac:dyDescent="0.3">
      <c r="A114" s="4" t="s">
        <v>337</v>
      </c>
      <c r="B114" s="4" t="s">
        <v>284</v>
      </c>
      <c r="C114" s="5">
        <v>45922</v>
      </c>
      <c r="D114" s="4">
        <v>50</v>
      </c>
      <c r="E114" s="4">
        <v>9347.5499999999993</v>
      </c>
      <c r="F114" s="4">
        <v>0</v>
      </c>
      <c r="G114" s="4">
        <v>467377.5</v>
      </c>
      <c r="H114" s="4" t="s">
        <v>285</v>
      </c>
      <c r="I114" t="s">
        <v>420</v>
      </c>
    </row>
    <row r="115" spans="1:9" x14ac:dyDescent="0.3">
      <c r="A115" s="4" t="s">
        <v>337</v>
      </c>
      <c r="B115" s="4" t="s">
        <v>284</v>
      </c>
      <c r="C115" s="5">
        <v>45922</v>
      </c>
      <c r="D115" s="4">
        <v>125</v>
      </c>
      <c r="E115" s="4">
        <v>9999</v>
      </c>
      <c r="F115" s="4">
        <v>0</v>
      </c>
      <c r="G115" s="4">
        <v>1249875</v>
      </c>
      <c r="H115" s="4" t="s">
        <v>285</v>
      </c>
      <c r="I115" t="s">
        <v>420</v>
      </c>
    </row>
    <row r="116" spans="1:9" x14ac:dyDescent="0.3">
      <c r="A116" s="4" t="s">
        <v>337</v>
      </c>
      <c r="B116" s="4" t="s">
        <v>284</v>
      </c>
      <c r="C116" s="5">
        <v>45922</v>
      </c>
      <c r="D116" s="4">
        <v>20</v>
      </c>
      <c r="E116" s="4">
        <v>15574.2</v>
      </c>
      <c r="F116" s="4">
        <v>0</v>
      </c>
      <c r="G116" s="4">
        <v>311484</v>
      </c>
      <c r="H116" s="4" t="s">
        <v>285</v>
      </c>
      <c r="I116" t="s">
        <v>420</v>
      </c>
    </row>
    <row r="117" spans="1:9" x14ac:dyDescent="0.3">
      <c r="A117" s="4" t="s">
        <v>337</v>
      </c>
      <c r="B117" s="4" t="s">
        <v>284</v>
      </c>
      <c r="C117" s="5">
        <v>45922</v>
      </c>
      <c r="D117" s="4">
        <v>25</v>
      </c>
      <c r="E117" s="4">
        <v>9786.9</v>
      </c>
      <c r="F117" s="4">
        <v>0</v>
      </c>
      <c r="G117" s="4">
        <v>244672.5</v>
      </c>
      <c r="H117" s="4" t="s">
        <v>285</v>
      </c>
      <c r="I117" t="s">
        <v>420</v>
      </c>
    </row>
    <row r="118" spans="1:9" x14ac:dyDescent="0.3">
      <c r="A118" s="4" t="s">
        <v>345</v>
      </c>
      <c r="B118" s="4" t="s">
        <v>284</v>
      </c>
      <c r="C118" s="5">
        <v>45923</v>
      </c>
      <c r="D118" s="4">
        <v>100</v>
      </c>
      <c r="E118" s="4">
        <v>9438</v>
      </c>
      <c r="F118" s="4">
        <v>0</v>
      </c>
      <c r="G118" s="4">
        <v>943800</v>
      </c>
      <c r="H118" s="4" t="s">
        <v>285</v>
      </c>
      <c r="I118" t="s">
        <v>420</v>
      </c>
    </row>
    <row r="119" spans="1:9" x14ac:dyDescent="0.3">
      <c r="A119" s="4" t="s">
        <v>351</v>
      </c>
      <c r="B119" s="4" t="s">
        <v>284</v>
      </c>
      <c r="C119" s="5">
        <v>45923</v>
      </c>
      <c r="D119" s="4">
        <v>40</v>
      </c>
      <c r="E119" s="4">
        <v>14700.4</v>
      </c>
      <c r="F119" s="4">
        <v>0</v>
      </c>
      <c r="G119" s="4">
        <v>588016</v>
      </c>
      <c r="H119" s="4" t="s">
        <v>285</v>
      </c>
      <c r="I119" t="s">
        <v>420</v>
      </c>
    </row>
    <row r="120" spans="1:9" hidden="1" x14ac:dyDescent="0.3">
      <c r="A120" s="4" t="s">
        <v>58</v>
      </c>
      <c r="B120" s="4" t="s">
        <v>305</v>
      </c>
      <c r="D120" s="4">
        <v>180</v>
      </c>
      <c r="E120" s="4">
        <v>14854.6</v>
      </c>
      <c r="F120" s="4">
        <v>0</v>
      </c>
      <c r="G120" s="4">
        <v>2673828</v>
      </c>
      <c r="H120" s="4">
        <v>2673828</v>
      </c>
    </row>
    <row r="121" spans="1:9" x14ac:dyDescent="0.3">
      <c r="A121" s="4" t="s">
        <v>351</v>
      </c>
      <c r="B121" s="4" t="s">
        <v>284</v>
      </c>
      <c r="C121" s="5">
        <v>45923</v>
      </c>
      <c r="D121" s="4">
        <v>1</v>
      </c>
      <c r="E121" s="4">
        <v>125840</v>
      </c>
      <c r="F121" s="4">
        <v>0</v>
      </c>
      <c r="G121" s="4">
        <v>125840</v>
      </c>
      <c r="H121" s="4" t="s">
        <v>285</v>
      </c>
      <c r="I121" t="s">
        <v>62</v>
      </c>
    </row>
    <row r="122" spans="1:9" x14ac:dyDescent="0.3">
      <c r="A122" s="4" t="s">
        <v>354</v>
      </c>
      <c r="B122" s="4" t="s">
        <v>284</v>
      </c>
      <c r="C122" s="5">
        <v>45924</v>
      </c>
      <c r="D122" s="4">
        <v>75</v>
      </c>
      <c r="E122" s="4">
        <v>9002.5</v>
      </c>
      <c r="F122" s="4">
        <v>0</v>
      </c>
      <c r="G122" s="4">
        <v>675187.5</v>
      </c>
      <c r="H122" s="4" t="s">
        <v>285</v>
      </c>
      <c r="I122" t="s">
        <v>62</v>
      </c>
    </row>
    <row r="123" spans="1:9" hidden="1" x14ac:dyDescent="0.3">
      <c r="A123" s="4" t="s">
        <v>61</v>
      </c>
      <c r="B123" s="4" t="s">
        <v>306</v>
      </c>
      <c r="D123" s="4">
        <v>50</v>
      </c>
      <c r="E123" s="4">
        <v>9350.85</v>
      </c>
      <c r="F123" s="4">
        <v>0</v>
      </c>
      <c r="G123" s="4">
        <v>467542.5</v>
      </c>
      <c r="H123" s="4">
        <v>467542.5</v>
      </c>
    </row>
    <row r="124" spans="1:9" x14ac:dyDescent="0.3">
      <c r="A124" s="4" t="s">
        <v>338</v>
      </c>
      <c r="B124" s="4" t="s">
        <v>284</v>
      </c>
      <c r="C124" s="5">
        <v>45925</v>
      </c>
      <c r="D124" s="4">
        <v>25</v>
      </c>
      <c r="E124" s="4">
        <v>8391.2000000000007</v>
      </c>
      <c r="F124" s="4">
        <v>0</v>
      </c>
      <c r="G124" s="4">
        <v>209780</v>
      </c>
      <c r="H124" s="4" t="s">
        <v>285</v>
      </c>
      <c r="I124" t="s">
        <v>111</v>
      </c>
    </row>
    <row r="125" spans="1:9" hidden="1" x14ac:dyDescent="0.3">
      <c r="A125" s="4" t="s">
        <v>110</v>
      </c>
      <c r="B125" s="4" t="s">
        <v>352</v>
      </c>
      <c r="D125" s="4">
        <v>1</v>
      </c>
      <c r="E125" s="4">
        <v>125840</v>
      </c>
      <c r="F125" s="4">
        <v>0</v>
      </c>
      <c r="G125" s="4">
        <v>125840</v>
      </c>
      <c r="H125" s="4">
        <v>125840</v>
      </c>
    </row>
    <row r="126" spans="1:9" x14ac:dyDescent="0.3">
      <c r="A126" s="4" t="s">
        <v>338</v>
      </c>
      <c r="B126" s="4" t="s">
        <v>284</v>
      </c>
      <c r="C126" s="5">
        <v>45925</v>
      </c>
      <c r="D126" s="4">
        <v>25</v>
      </c>
      <c r="E126" s="4">
        <v>8840</v>
      </c>
      <c r="F126" s="4">
        <v>0</v>
      </c>
      <c r="G126" s="4">
        <v>221000</v>
      </c>
      <c r="H126" s="4" t="s">
        <v>285</v>
      </c>
      <c r="I126" t="s">
        <v>32</v>
      </c>
    </row>
    <row r="127" spans="1:9" hidden="1" x14ac:dyDescent="0.3">
      <c r="A127" s="4" t="s">
        <v>31</v>
      </c>
      <c r="B127" s="4" t="s">
        <v>330</v>
      </c>
      <c r="D127" s="4">
        <v>75</v>
      </c>
      <c r="E127" s="4">
        <v>10880</v>
      </c>
      <c r="F127" s="4">
        <v>0</v>
      </c>
      <c r="G127" s="4">
        <v>816000</v>
      </c>
      <c r="H127" s="4">
        <v>816000</v>
      </c>
    </row>
    <row r="128" spans="1:9" x14ac:dyDescent="0.3">
      <c r="A128" s="4" t="s">
        <v>348</v>
      </c>
      <c r="B128" s="4" t="s">
        <v>284</v>
      </c>
      <c r="C128" s="5">
        <v>45926</v>
      </c>
      <c r="D128" s="4">
        <v>40</v>
      </c>
      <c r="E128" s="4">
        <v>13482.25</v>
      </c>
      <c r="F128" s="4">
        <v>0</v>
      </c>
      <c r="G128" s="4">
        <v>539290</v>
      </c>
      <c r="H128" s="4" t="s">
        <v>285</v>
      </c>
      <c r="I128" t="s">
        <v>172</v>
      </c>
    </row>
    <row r="129" spans="1:9" x14ac:dyDescent="0.3">
      <c r="A129" s="4" t="s">
        <v>339</v>
      </c>
      <c r="B129" s="4" t="s">
        <v>284</v>
      </c>
      <c r="C129" s="5">
        <v>45929</v>
      </c>
      <c r="D129" s="4">
        <v>25</v>
      </c>
      <c r="E129" s="4">
        <v>8329.5</v>
      </c>
      <c r="F129" s="4">
        <v>0</v>
      </c>
      <c r="G129" s="4">
        <v>208237.5</v>
      </c>
      <c r="H129" s="4" t="s">
        <v>285</v>
      </c>
      <c r="I129" t="s">
        <v>172</v>
      </c>
    </row>
    <row r="130" spans="1:9" x14ac:dyDescent="0.3">
      <c r="A130" s="4" t="s">
        <v>339</v>
      </c>
      <c r="B130" s="4" t="s">
        <v>284</v>
      </c>
      <c r="C130" s="5">
        <v>45929</v>
      </c>
      <c r="D130" s="4">
        <v>20</v>
      </c>
      <c r="E130" s="4">
        <v>13878</v>
      </c>
      <c r="F130" s="4">
        <v>0</v>
      </c>
      <c r="G130" s="4">
        <v>277560</v>
      </c>
      <c r="H130" s="4" t="s">
        <v>285</v>
      </c>
      <c r="I130" t="s">
        <v>172</v>
      </c>
    </row>
    <row r="131" spans="1:9" x14ac:dyDescent="0.3">
      <c r="A131" s="4" t="s">
        <v>340</v>
      </c>
      <c r="B131" s="4" t="s">
        <v>284</v>
      </c>
      <c r="C131" s="5">
        <v>45930</v>
      </c>
      <c r="D131" s="4">
        <v>75</v>
      </c>
      <c r="E131" s="4">
        <v>8514.6</v>
      </c>
      <c r="F131" s="4">
        <v>0</v>
      </c>
      <c r="G131" s="4">
        <v>638595</v>
      </c>
      <c r="H131" s="4" t="s">
        <v>285</v>
      </c>
      <c r="I131" t="s">
        <v>172</v>
      </c>
    </row>
    <row r="132" spans="1:9" hidden="1" x14ac:dyDescent="0.3">
      <c r="A132" s="4" t="s">
        <v>171</v>
      </c>
      <c r="B132" s="4" t="s">
        <v>311</v>
      </c>
      <c r="D132" s="4">
        <v>250</v>
      </c>
      <c r="E132" s="4">
        <v>9288.5</v>
      </c>
      <c r="F132" s="4">
        <v>0</v>
      </c>
      <c r="G132" s="4">
        <v>2322125</v>
      </c>
      <c r="H132" s="4">
        <v>2322125</v>
      </c>
    </row>
    <row r="133" spans="1:9" x14ac:dyDescent="0.3">
      <c r="A133" s="4" t="s">
        <v>363</v>
      </c>
      <c r="B133" s="4" t="s">
        <v>284</v>
      </c>
      <c r="C133" s="5">
        <v>45931</v>
      </c>
      <c r="D133" s="4">
        <v>100</v>
      </c>
      <c r="E133" s="4">
        <v>9240</v>
      </c>
      <c r="F133" s="4">
        <v>0</v>
      </c>
      <c r="G133" s="4">
        <v>924000</v>
      </c>
      <c r="H133" s="4" t="s">
        <v>285</v>
      </c>
      <c r="I133" t="s">
        <v>47</v>
      </c>
    </row>
    <row r="134" spans="1:9" x14ac:dyDescent="0.3">
      <c r="A134" s="4" t="s">
        <v>363</v>
      </c>
      <c r="B134" s="4" t="s">
        <v>284</v>
      </c>
      <c r="C134" s="5">
        <v>45931</v>
      </c>
      <c r="D134" s="4">
        <v>20</v>
      </c>
      <c r="E134" s="4">
        <v>14392</v>
      </c>
      <c r="F134" s="4">
        <v>0</v>
      </c>
      <c r="G134" s="4">
        <v>287840</v>
      </c>
      <c r="H134" s="4" t="s">
        <v>285</v>
      </c>
      <c r="I134" t="s">
        <v>47</v>
      </c>
    </row>
    <row r="135" spans="1:9" x14ac:dyDescent="0.3">
      <c r="A135" s="4" t="s">
        <v>355</v>
      </c>
      <c r="B135" s="4" t="s">
        <v>284</v>
      </c>
      <c r="C135" s="5">
        <v>45932</v>
      </c>
      <c r="D135" s="4">
        <v>50</v>
      </c>
      <c r="E135" s="4">
        <v>8946.5</v>
      </c>
      <c r="F135" s="4">
        <v>0</v>
      </c>
      <c r="G135" s="4">
        <v>447325</v>
      </c>
      <c r="H135" s="4" t="s">
        <v>285</v>
      </c>
      <c r="I135" t="s">
        <v>47</v>
      </c>
    </row>
    <row r="136" spans="1:9" x14ac:dyDescent="0.3">
      <c r="A136" s="4" t="s">
        <v>364</v>
      </c>
      <c r="B136" s="4" t="s">
        <v>284</v>
      </c>
      <c r="C136" s="5">
        <v>45933</v>
      </c>
      <c r="D136" s="4">
        <v>75</v>
      </c>
      <c r="E136" s="4">
        <v>9570</v>
      </c>
      <c r="F136" s="4">
        <v>0</v>
      </c>
      <c r="G136" s="4">
        <v>717750</v>
      </c>
      <c r="H136" s="4" t="s">
        <v>285</v>
      </c>
      <c r="I136" t="s">
        <v>47</v>
      </c>
    </row>
    <row r="137" spans="1:9" x14ac:dyDescent="0.3">
      <c r="A137" s="4" t="s">
        <v>364</v>
      </c>
      <c r="B137" s="4" t="s">
        <v>284</v>
      </c>
      <c r="C137" s="5">
        <v>45933</v>
      </c>
      <c r="D137" s="4">
        <v>20</v>
      </c>
      <c r="E137" s="4">
        <v>14427.5</v>
      </c>
      <c r="F137" s="4">
        <v>0</v>
      </c>
      <c r="G137" s="4">
        <v>288550</v>
      </c>
      <c r="H137" s="4" t="s">
        <v>285</v>
      </c>
      <c r="I137" t="s">
        <v>47</v>
      </c>
    </row>
    <row r="138" spans="1:9" x14ac:dyDescent="0.3">
      <c r="A138" s="4" t="s">
        <v>364</v>
      </c>
      <c r="B138" s="4" t="s">
        <v>284</v>
      </c>
      <c r="C138" s="5">
        <v>45933</v>
      </c>
      <c r="D138" s="4">
        <v>25</v>
      </c>
      <c r="E138" s="4">
        <v>9425</v>
      </c>
      <c r="F138" s="4">
        <v>0</v>
      </c>
      <c r="G138" s="4">
        <v>235625</v>
      </c>
      <c r="H138" s="4" t="s">
        <v>285</v>
      </c>
      <c r="I138" t="s">
        <v>47</v>
      </c>
    </row>
    <row r="139" spans="1:9" x14ac:dyDescent="0.3">
      <c r="A139" s="4" t="s">
        <v>356</v>
      </c>
      <c r="B139" s="4" t="s">
        <v>284</v>
      </c>
      <c r="C139" s="5">
        <v>45936</v>
      </c>
      <c r="D139" s="4">
        <v>50</v>
      </c>
      <c r="E139" s="4">
        <v>8946.5</v>
      </c>
      <c r="F139" s="4">
        <v>0</v>
      </c>
      <c r="G139" s="4">
        <v>447325</v>
      </c>
      <c r="H139" s="4" t="s">
        <v>285</v>
      </c>
      <c r="I139" t="s">
        <v>47</v>
      </c>
    </row>
    <row r="140" spans="1:9" x14ac:dyDescent="0.3">
      <c r="A140" s="4" t="s">
        <v>356</v>
      </c>
      <c r="B140" s="4" t="s">
        <v>284</v>
      </c>
      <c r="C140" s="5">
        <v>45936</v>
      </c>
      <c r="D140" s="4">
        <v>20</v>
      </c>
      <c r="E140" s="4">
        <v>14906</v>
      </c>
      <c r="F140" s="4">
        <v>0</v>
      </c>
      <c r="G140" s="4">
        <v>298120</v>
      </c>
      <c r="H140" s="4" t="s">
        <v>285</v>
      </c>
      <c r="I140" t="s">
        <v>47</v>
      </c>
    </row>
    <row r="141" spans="1:9" hidden="1" x14ac:dyDescent="0.3">
      <c r="A141" s="4" t="s">
        <v>46</v>
      </c>
      <c r="B141" s="4" t="s">
        <v>291</v>
      </c>
      <c r="D141" s="4">
        <v>325</v>
      </c>
      <c r="E141" s="4">
        <v>9012.9462000000003</v>
      </c>
      <c r="F141" s="4">
        <v>0</v>
      </c>
      <c r="G141" s="4">
        <v>2929207.5</v>
      </c>
      <c r="H141" s="4">
        <v>2929207.5</v>
      </c>
    </row>
    <row r="142" spans="1:9" x14ac:dyDescent="0.3">
      <c r="A142" s="4" t="s">
        <v>365</v>
      </c>
      <c r="B142" s="4" t="s">
        <v>284</v>
      </c>
      <c r="C142" s="5">
        <v>45938</v>
      </c>
      <c r="D142" s="4">
        <v>125</v>
      </c>
      <c r="E142" s="4">
        <v>9457.5</v>
      </c>
      <c r="F142" s="4">
        <v>0</v>
      </c>
      <c r="G142" s="4">
        <v>1182187.5</v>
      </c>
      <c r="H142" s="4" t="s">
        <v>285</v>
      </c>
      <c r="I142" t="s">
        <v>30</v>
      </c>
    </row>
    <row r="143" spans="1:9" x14ac:dyDescent="0.3">
      <c r="A143" s="4" t="s">
        <v>365</v>
      </c>
      <c r="B143" s="4" t="s">
        <v>284</v>
      </c>
      <c r="C143" s="5">
        <v>45938</v>
      </c>
      <c r="D143" s="4">
        <v>25</v>
      </c>
      <c r="E143" s="4">
        <v>13065.9</v>
      </c>
      <c r="F143" s="4">
        <v>0</v>
      </c>
      <c r="G143" s="4">
        <v>326647.5</v>
      </c>
      <c r="H143" s="4" t="s">
        <v>285</v>
      </c>
      <c r="I143" t="s">
        <v>30</v>
      </c>
    </row>
    <row r="144" spans="1:9" x14ac:dyDescent="0.3">
      <c r="A144" s="4" t="s">
        <v>372</v>
      </c>
      <c r="B144" s="4" t="s">
        <v>284</v>
      </c>
      <c r="C144" s="5">
        <v>45939</v>
      </c>
      <c r="D144" s="4">
        <v>40</v>
      </c>
      <c r="E144" s="4">
        <v>14626.5</v>
      </c>
      <c r="F144" s="4">
        <v>0</v>
      </c>
      <c r="G144" s="4">
        <v>585060</v>
      </c>
      <c r="H144" s="4" t="s">
        <v>285</v>
      </c>
      <c r="I144" t="s">
        <v>30</v>
      </c>
    </row>
    <row r="145" spans="1:9" x14ac:dyDescent="0.3">
      <c r="A145" s="4" t="s">
        <v>366</v>
      </c>
      <c r="B145" s="4" t="s">
        <v>284</v>
      </c>
      <c r="C145" s="5">
        <v>45943</v>
      </c>
      <c r="D145" s="4">
        <v>75</v>
      </c>
      <c r="E145" s="4">
        <v>9570</v>
      </c>
      <c r="F145" s="4">
        <v>0</v>
      </c>
      <c r="G145" s="4">
        <v>717750</v>
      </c>
      <c r="H145" s="4" t="s">
        <v>285</v>
      </c>
      <c r="I145" t="s">
        <v>30</v>
      </c>
    </row>
    <row r="146" spans="1:9" x14ac:dyDescent="0.3">
      <c r="A146" s="4" t="s">
        <v>366</v>
      </c>
      <c r="B146" s="4" t="s">
        <v>284</v>
      </c>
      <c r="C146" s="5">
        <v>45943</v>
      </c>
      <c r="D146" s="4">
        <v>20</v>
      </c>
      <c r="E146" s="4">
        <v>14906</v>
      </c>
      <c r="F146" s="4">
        <v>0</v>
      </c>
      <c r="G146" s="4">
        <v>298120</v>
      </c>
      <c r="H146" s="4" t="s">
        <v>285</v>
      </c>
      <c r="I146" t="s">
        <v>30</v>
      </c>
    </row>
    <row r="147" spans="1:9" x14ac:dyDescent="0.3">
      <c r="A147" s="4" t="s">
        <v>378</v>
      </c>
      <c r="B147" s="4" t="s">
        <v>284</v>
      </c>
      <c r="C147" s="5">
        <v>45944</v>
      </c>
      <c r="D147" s="4">
        <v>50</v>
      </c>
      <c r="E147" s="4">
        <v>8937.5</v>
      </c>
      <c r="F147" s="4">
        <v>0</v>
      </c>
      <c r="G147" s="4">
        <v>446875</v>
      </c>
      <c r="H147" s="4" t="s">
        <v>285</v>
      </c>
      <c r="I147" t="s">
        <v>30</v>
      </c>
    </row>
    <row r="148" spans="1:9" x14ac:dyDescent="0.3">
      <c r="A148" s="4" t="s">
        <v>357</v>
      </c>
      <c r="B148" s="4" t="s">
        <v>284</v>
      </c>
      <c r="C148" s="5">
        <v>45945</v>
      </c>
      <c r="D148" s="4">
        <v>25</v>
      </c>
      <c r="E148" s="4">
        <v>8545.4500000000007</v>
      </c>
      <c r="F148" s="4">
        <v>0</v>
      </c>
      <c r="G148" s="4">
        <v>213636.25</v>
      </c>
      <c r="H148" s="4" t="s">
        <v>285</v>
      </c>
      <c r="I148" t="s">
        <v>30</v>
      </c>
    </row>
    <row r="149" spans="1:9" x14ac:dyDescent="0.3">
      <c r="A149" s="4" t="s">
        <v>357</v>
      </c>
      <c r="B149" s="4" t="s">
        <v>284</v>
      </c>
      <c r="C149" s="5">
        <v>45945</v>
      </c>
      <c r="D149" s="4">
        <v>25</v>
      </c>
      <c r="E149" s="4">
        <v>8947.1</v>
      </c>
      <c r="F149" s="4">
        <v>0</v>
      </c>
      <c r="G149" s="4">
        <v>223677.5</v>
      </c>
      <c r="H149" s="4" t="s">
        <v>285</v>
      </c>
      <c r="I149" t="s">
        <v>30</v>
      </c>
    </row>
    <row r="150" spans="1:9" x14ac:dyDescent="0.3">
      <c r="A150" s="4" t="s">
        <v>367</v>
      </c>
      <c r="B150" s="4" t="s">
        <v>284</v>
      </c>
      <c r="C150" s="5">
        <v>45946</v>
      </c>
      <c r="D150" s="4">
        <v>50</v>
      </c>
      <c r="E150" s="4">
        <v>9132.5</v>
      </c>
      <c r="F150" s="4">
        <v>0</v>
      </c>
      <c r="G150" s="4">
        <v>456625</v>
      </c>
      <c r="H150" s="4" t="s">
        <v>285</v>
      </c>
      <c r="I150" t="s">
        <v>30</v>
      </c>
    </row>
    <row r="151" spans="1:9" x14ac:dyDescent="0.3">
      <c r="A151" s="4" t="s">
        <v>367</v>
      </c>
      <c r="B151" s="4" t="s">
        <v>284</v>
      </c>
      <c r="C151" s="5">
        <v>45946</v>
      </c>
      <c r="D151" s="4">
        <v>20</v>
      </c>
      <c r="E151" s="4">
        <v>14443.4</v>
      </c>
      <c r="F151" s="4">
        <v>0</v>
      </c>
      <c r="G151" s="4">
        <v>288868</v>
      </c>
      <c r="H151" s="4" t="s">
        <v>285</v>
      </c>
      <c r="I151" t="s">
        <v>30</v>
      </c>
    </row>
    <row r="152" spans="1:9" x14ac:dyDescent="0.3">
      <c r="A152" s="4" t="s">
        <v>358</v>
      </c>
      <c r="B152" s="4" t="s">
        <v>284</v>
      </c>
      <c r="C152" s="5">
        <v>45947</v>
      </c>
      <c r="D152" s="4">
        <v>25</v>
      </c>
      <c r="E152" s="4">
        <v>8823.1</v>
      </c>
      <c r="F152" s="4">
        <v>0</v>
      </c>
      <c r="G152" s="4">
        <v>220577.5</v>
      </c>
      <c r="H152" s="4" t="s">
        <v>285</v>
      </c>
      <c r="I152" t="s">
        <v>30</v>
      </c>
    </row>
    <row r="153" spans="1:9" hidden="1" x14ac:dyDescent="0.3">
      <c r="A153" s="4" t="s">
        <v>29</v>
      </c>
      <c r="B153" s="4" t="s">
        <v>303</v>
      </c>
      <c r="D153" s="4">
        <v>1050</v>
      </c>
      <c r="E153" s="4">
        <v>9654.1309999999994</v>
      </c>
      <c r="F153" s="4">
        <v>0</v>
      </c>
      <c r="G153" s="4">
        <v>10136837.5</v>
      </c>
      <c r="H153" s="4">
        <v>10136837.5</v>
      </c>
    </row>
    <row r="154" spans="1:9" x14ac:dyDescent="0.3">
      <c r="A154" s="4" t="s">
        <v>358</v>
      </c>
      <c r="B154" s="4" t="s">
        <v>284</v>
      </c>
      <c r="C154" s="5">
        <v>45947</v>
      </c>
      <c r="D154" s="4">
        <v>20</v>
      </c>
      <c r="E154" s="4">
        <v>14228.5</v>
      </c>
      <c r="F154" s="4">
        <v>0</v>
      </c>
      <c r="G154" s="4">
        <v>284570</v>
      </c>
      <c r="H154" s="4" t="s">
        <v>285</v>
      </c>
      <c r="I154" t="s">
        <v>50</v>
      </c>
    </row>
    <row r="155" spans="1:9" x14ac:dyDescent="0.3">
      <c r="A155" s="4" t="s">
        <v>358</v>
      </c>
      <c r="B155" s="4" t="s">
        <v>284</v>
      </c>
      <c r="C155" s="5">
        <v>45947</v>
      </c>
      <c r="D155" s="4">
        <v>50</v>
      </c>
      <c r="E155" s="4">
        <v>11440</v>
      </c>
      <c r="F155" s="4">
        <v>0</v>
      </c>
      <c r="G155" s="4">
        <v>572000</v>
      </c>
      <c r="H155" s="4" t="s">
        <v>285</v>
      </c>
      <c r="I155" t="s">
        <v>50</v>
      </c>
    </row>
    <row r="156" spans="1:9" x14ac:dyDescent="0.3">
      <c r="A156" s="4" t="s">
        <v>358</v>
      </c>
      <c r="B156" s="4" t="s">
        <v>284</v>
      </c>
      <c r="C156" s="5">
        <v>45947</v>
      </c>
      <c r="D156" s="4">
        <v>25</v>
      </c>
      <c r="E156" s="4">
        <v>8823.1</v>
      </c>
      <c r="F156" s="4">
        <v>0</v>
      </c>
      <c r="G156" s="4">
        <v>220577.5</v>
      </c>
      <c r="H156" s="4" t="s">
        <v>285</v>
      </c>
      <c r="I156" t="s">
        <v>50</v>
      </c>
    </row>
    <row r="157" spans="1:9" x14ac:dyDescent="0.3">
      <c r="A157" s="4" t="s">
        <v>368</v>
      </c>
      <c r="B157" s="4" t="s">
        <v>284</v>
      </c>
      <c r="C157" s="5">
        <v>45950</v>
      </c>
      <c r="D157" s="4">
        <v>150</v>
      </c>
      <c r="E157" s="4">
        <v>9735</v>
      </c>
      <c r="F157" s="4">
        <v>0</v>
      </c>
      <c r="G157" s="4">
        <v>1460250</v>
      </c>
      <c r="H157" s="4" t="s">
        <v>285</v>
      </c>
      <c r="I157" t="s">
        <v>50</v>
      </c>
    </row>
    <row r="158" spans="1:9" hidden="1" x14ac:dyDescent="0.3">
      <c r="A158" s="4" t="s">
        <v>49</v>
      </c>
      <c r="B158" s="4" t="s">
        <v>304</v>
      </c>
      <c r="D158" s="4">
        <v>100</v>
      </c>
      <c r="E158" s="4">
        <v>14596.65</v>
      </c>
      <c r="F158" s="4">
        <v>0</v>
      </c>
      <c r="G158" s="4">
        <v>1459665</v>
      </c>
      <c r="H158" s="4">
        <v>1459665</v>
      </c>
    </row>
    <row r="159" spans="1:9" x14ac:dyDescent="0.3">
      <c r="A159" s="4" t="s">
        <v>368</v>
      </c>
      <c r="B159" s="4" t="s">
        <v>284</v>
      </c>
      <c r="C159" s="5">
        <v>45950</v>
      </c>
      <c r="D159" s="4">
        <v>20</v>
      </c>
      <c r="E159" s="4">
        <v>15163</v>
      </c>
      <c r="F159" s="4">
        <v>0</v>
      </c>
      <c r="G159" s="4">
        <v>303260</v>
      </c>
      <c r="H159" s="4" t="s">
        <v>285</v>
      </c>
      <c r="I159" t="s">
        <v>420</v>
      </c>
    </row>
    <row r="160" spans="1:9" x14ac:dyDescent="0.3">
      <c r="A160" s="4" t="s">
        <v>368</v>
      </c>
      <c r="B160" s="4" t="s">
        <v>284</v>
      </c>
      <c r="C160" s="5">
        <v>45950</v>
      </c>
      <c r="D160" s="4">
        <v>25</v>
      </c>
      <c r="E160" s="4">
        <v>15089.25</v>
      </c>
      <c r="F160" s="4">
        <v>0</v>
      </c>
      <c r="G160" s="4">
        <v>377231.25</v>
      </c>
      <c r="H160" s="4" t="s">
        <v>285</v>
      </c>
      <c r="I160" t="s">
        <v>420</v>
      </c>
    </row>
    <row r="161" spans="1:9" x14ac:dyDescent="0.3">
      <c r="A161" s="4" t="s">
        <v>368</v>
      </c>
      <c r="B161" s="4" t="s">
        <v>284</v>
      </c>
      <c r="C161" s="5">
        <v>45950</v>
      </c>
      <c r="D161" s="4">
        <v>50</v>
      </c>
      <c r="E161" s="4">
        <v>13245.5</v>
      </c>
      <c r="F161" s="4">
        <v>0</v>
      </c>
      <c r="G161" s="4">
        <v>662275</v>
      </c>
      <c r="H161" s="4" t="s">
        <v>285</v>
      </c>
      <c r="I161" t="s">
        <v>420</v>
      </c>
    </row>
    <row r="162" spans="1:9" x14ac:dyDescent="0.3">
      <c r="A162" s="4" t="s">
        <v>375</v>
      </c>
      <c r="B162" s="4" t="s">
        <v>284</v>
      </c>
      <c r="C162" s="5">
        <v>45950</v>
      </c>
      <c r="D162" s="4">
        <v>25</v>
      </c>
      <c r="E162" s="4">
        <v>14956.5</v>
      </c>
      <c r="F162" s="4">
        <v>0</v>
      </c>
      <c r="G162" s="4">
        <v>373912.5</v>
      </c>
      <c r="H162" s="4" t="s">
        <v>285</v>
      </c>
      <c r="I162" t="s">
        <v>420</v>
      </c>
    </row>
    <row r="163" spans="1:9" x14ac:dyDescent="0.3">
      <c r="A163" s="4" t="s">
        <v>377</v>
      </c>
      <c r="B163" s="4" t="s">
        <v>284</v>
      </c>
      <c r="C163" s="5">
        <v>45950</v>
      </c>
      <c r="D163" s="4">
        <v>50</v>
      </c>
      <c r="E163" s="4">
        <v>11960</v>
      </c>
      <c r="F163" s="4">
        <v>0</v>
      </c>
      <c r="G163" s="4">
        <v>598000</v>
      </c>
      <c r="H163" s="4" t="s">
        <v>285</v>
      </c>
      <c r="I163" t="s">
        <v>420</v>
      </c>
    </row>
    <row r="164" spans="1:9" x14ac:dyDescent="0.3">
      <c r="A164" s="4" t="s">
        <v>359</v>
      </c>
      <c r="B164" s="4" t="s">
        <v>284</v>
      </c>
      <c r="C164" s="5">
        <v>45951</v>
      </c>
      <c r="D164" s="4">
        <v>25</v>
      </c>
      <c r="E164" s="4">
        <v>9224.15</v>
      </c>
      <c r="F164" s="4">
        <v>0</v>
      </c>
      <c r="G164" s="4">
        <v>230603.75</v>
      </c>
      <c r="H164" s="4" t="s">
        <v>285</v>
      </c>
      <c r="I164" t="s">
        <v>420</v>
      </c>
    </row>
    <row r="165" spans="1:9" x14ac:dyDescent="0.3">
      <c r="A165" s="4" t="s">
        <v>359</v>
      </c>
      <c r="B165" s="4" t="s">
        <v>284</v>
      </c>
      <c r="C165" s="5">
        <v>45951</v>
      </c>
      <c r="D165" s="4">
        <v>50</v>
      </c>
      <c r="E165" s="4">
        <v>9867</v>
      </c>
      <c r="F165" s="4">
        <v>0</v>
      </c>
      <c r="G165" s="4">
        <v>493350</v>
      </c>
      <c r="H165" s="4" t="s">
        <v>285</v>
      </c>
      <c r="I165" t="s">
        <v>420</v>
      </c>
    </row>
    <row r="166" spans="1:9" hidden="1" x14ac:dyDescent="0.3">
      <c r="A166" s="4" t="s">
        <v>58</v>
      </c>
      <c r="B166" s="4" t="s">
        <v>305</v>
      </c>
      <c r="D166" s="4">
        <v>140</v>
      </c>
      <c r="E166" s="4">
        <v>14979.428599999999</v>
      </c>
      <c r="F166" s="4">
        <v>0</v>
      </c>
      <c r="G166" s="4">
        <v>2097120</v>
      </c>
      <c r="H166" s="4">
        <v>2097120</v>
      </c>
    </row>
    <row r="167" spans="1:9" x14ac:dyDescent="0.3">
      <c r="A167" s="4" t="s">
        <v>369</v>
      </c>
      <c r="B167" s="4" t="s">
        <v>284</v>
      </c>
      <c r="C167" s="5">
        <v>45952</v>
      </c>
      <c r="D167" s="4">
        <v>100</v>
      </c>
      <c r="E167" s="4">
        <v>9847.5</v>
      </c>
      <c r="F167" s="4">
        <v>0</v>
      </c>
      <c r="G167" s="4">
        <v>984750</v>
      </c>
      <c r="H167" s="4" t="s">
        <v>285</v>
      </c>
      <c r="I167" t="s">
        <v>62</v>
      </c>
    </row>
    <row r="168" spans="1:9" hidden="1" x14ac:dyDescent="0.3">
      <c r="A168" s="4" t="s">
        <v>61</v>
      </c>
      <c r="B168" s="4" t="s">
        <v>306</v>
      </c>
      <c r="D168" s="4">
        <v>25</v>
      </c>
      <c r="E168" s="4">
        <v>8947.1</v>
      </c>
      <c r="F168" s="4">
        <v>0</v>
      </c>
      <c r="G168" s="4">
        <v>223677.5</v>
      </c>
      <c r="H168" s="4">
        <v>223677.5</v>
      </c>
    </row>
    <row r="169" spans="1:9" x14ac:dyDescent="0.3">
      <c r="A169" s="4" t="s">
        <v>360</v>
      </c>
      <c r="B169" s="4" t="s">
        <v>284</v>
      </c>
      <c r="C169" s="5">
        <v>45953</v>
      </c>
      <c r="D169" s="4">
        <v>50</v>
      </c>
      <c r="E169" s="4">
        <v>9347.5499999999993</v>
      </c>
      <c r="F169" s="4">
        <v>0</v>
      </c>
      <c r="G169" s="4">
        <v>467377.5</v>
      </c>
      <c r="H169" s="4" t="s">
        <v>285</v>
      </c>
      <c r="I169" t="s">
        <v>195</v>
      </c>
    </row>
    <row r="170" spans="1:9" hidden="1" x14ac:dyDescent="0.3">
      <c r="A170" s="4" t="s">
        <v>194</v>
      </c>
      <c r="B170" s="4" t="s">
        <v>374</v>
      </c>
      <c r="D170" s="4">
        <v>25</v>
      </c>
      <c r="E170" s="4">
        <v>15089.25</v>
      </c>
      <c r="F170" s="4">
        <v>0</v>
      </c>
      <c r="G170" s="4">
        <v>377231.25</v>
      </c>
      <c r="H170" s="4">
        <v>377231.25</v>
      </c>
    </row>
    <row r="171" spans="1:9" x14ac:dyDescent="0.3">
      <c r="A171" s="4" t="s">
        <v>360</v>
      </c>
      <c r="B171" s="4" t="s">
        <v>284</v>
      </c>
      <c r="C171" s="5">
        <v>45953</v>
      </c>
      <c r="D171" s="4">
        <v>50</v>
      </c>
      <c r="E171" s="4">
        <v>9999</v>
      </c>
      <c r="F171" s="4">
        <v>0</v>
      </c>
      <c r="G171" s="4">
        <v>499950</v>
      </c>
      <c r="H171" s="4" t="s">
        <v>285</v>
      </c>
      <c r="I171" t="s">
        <v>130</v>
      </c>
    </row>
    <row r="172" spans="1:9" x14ac:dyDescent="0.3">
      <c r="A172" s="4" t="s">
        <v>360</v>
      </c>
      <c r="B172" s="4" t="s">
        <v>284</v>
      </c>
      <c r="C172" s="5">
        <v>45953</v>
      </c>
      <c r="D172" s="4">
        <v>20</v>
      </c>
      <c r="E172" s="4">
        <v>15074.25</v>
      </c>
      <c r="F172" s="4">
        <v>0</v>
      </c>
      <c r="G172" s="4">
        <v>301485</v>
      </c>
      <c r="H172" s="4" t="s">
        <v>285</v>
      </c>
      <c r="I172" t="s">
        <v>130</v>
      </c>
    </row>
    <row r="173" spans="1:9" hidden="1" x14ac:dyDescent="0.3">
      <c r="A173" s="4" t="s">
        <v>129</v>
      </c>
      <c r="B173" s="4" t="s">
        <v>327</v>
      </c>
      <c r="D173" s="4">
        <v>75</v>
      </c>
      <c r="E173" s="4">
        <v>13185.6333</v>
      </c>
      <c r="F173" s="4">
        <v>0</v>
      </c>
      <c r="G173" s="4">
        <v>988922.5</v>
      </c>
      <c r="H173" s="4">
        <v>988922.5</v>
      </c>
    </row>
    <row r="174" spans="1:9" x14ac:dyDescent="0.3">
      <c r="A174" s="4" t="s">
        <v>373</v>
      </c>
      <c r="B174" s="4" t="s">
        <v>284</v>
      </c>
      <c r="C174" s="5">
        <v>45954</v>
      </c>
      <c r="D174" s="4">
        <v>20</v>
      </c>
      <c r="E174" s="4">
        <v>15471.4</v>
      </c>
      <c r="F174" s="4">
        <v>0</v>
      </c>
      <c r="G174" s="4">
        <v>309428</v>
      </c>
      <c r="H174" s="4" t="s">
        <v>285</v>
      </c>
      <c r="I174" t="s">
        <v>78</v>
      </c>
    </row>
    <row r="175" spans="1:9" hidden="1" x14ac:dyDescent="0.3">
      <c r="A175" s="4" t="s">
        <v>77</v>
      </c>
      <c r="B175" s="4" t="s">
        <v>376</v>
      </c>
      <c r="D175" s="4">
        <v>25</v>
      </c>
      <c r="E175" s="4">
        <v>14956.5</v>
      </c>
      <c r="F175" s="4">
        <v>0</v>
      </c>
      <c r="G175" s="4">
        <v>373912.5</v>
      </c>
      <c r="H175" s="4">
        <v>373912.5</v>
      </c>
    </row>
    <row r="176" spans="1:9" x14ac:dyDescent="0.3">
      <c r="A176" s="4" t="s">
        <v>373</v>
      </c>
      <c r="B176" s="4" t="s">
        <v>284</v>
      </c>
      <c r="C176" s="5">
        <v>45954</v>
      </c>
      <c r="D176" s="4">
        <v>50</v>
      </c>
      <c r="E176" s="4">
        <v>9782.5</v>
      </c>
      <c r="F176" s="4">
        <v>0</v>
      </c>
      <c r="G176" s="4">
        <v>489125</v>
      </c>
      <c r="H176" s="4" t="s">
        <v>285</v>
      </c>
      <c r="I176" t="s">
        <v>32</v>
      </c>
    </row>
    <row r="177" spans="1:9" x14ac:dyDescent="0.3">
      <c r="A177" s="4" t="s">
        <v>379</v>
      </c>
      <c r="B177" s="4" t="s">
        <v>284</v>
      </c>
      <c r="C177" s="5">
        <v>45954</v>
      </c>
      <c r="D177" s="4">
        <v>25</v>
      </c>
      <c r="E177" s="4">
        <v>9782.5</v>
      </c>
      <c r="F177" s="4">
        <v>0</v>
      </c>
      <c r="G177" s="4">
        <v>244562.5</v>
      </c>
      <c r="H177" s="4" t="s">
        <v>285</v>
      </c>
      <c r="I177" t="s">
        <v>32</v>
      </c>
    </row>
    <row r="178" spans="1:9" hidden="1" x14ac:dyDescent="0.3">
      <c r="A178" s="4" t="s">
        <v>31</v>
      </c>
      <c r="B178" s="4" t="s">
        <v>330</v>
      </c>
      <c r="D178" s="4">
        <v>100</v>
      </c>
      <c r="E178" s="4">
        <v>11700</v>
      </c>
      <c r="F178" s="4">
        <v>0</v>
      </c>
      <c r="G178" s="4">
        <v>1170000</v>
      </c>
      <c r="H178" s="4">
        <v>1170000</v>
      </c>
    </row>
    <row r="179" spans="1:9" x14ac:dyDescent="0.3">
      <c r="A179" s="4" t="s">
        <v>370</v>
      </c>
      <c r="B179" s="4" t="s">
        <v>284</v>
      </c>
      <c r="C179" s="5">
        <v>45957</v>
      </c>
      <c r="D179" s="4">
        <v>125</v>
      </c>
      <c r="E179" s="4">
        <v>9999</v>
      </c>
      <c r="F179" s="4">
        <v>0</v>
      </c>
      <c r="G179" s="4">
        <v>1249875</v>
      </c>
      <c r="H179" s="4" t="s">
        <v>285</v>
      </c>
      <c r="I179" t="s">
        <v>172</v>
      </c>
    </row>
    <row r="180" spans="1:9" x14ac:dyDescent="0.3">
      <c r="A180" s="4" t="s">
        <v>370</v>
      </c>
      <c r="B180" s="4" t="s">
        <v>284</v>
      </c>
      <c r="C180" s="5">
        <v>45957</v>
      </c>
      <c r="D180" s="4">
        <v>20</v>
      </c>
      <c r="E180" s="4">
        <v>15574.2</v>
      </c>
      <c r="F180" s="4">
        <v>0</v>
      </c>
      <c r="G180" s="4">
        <v>311484</v>
      </c>
      <c r="H180" s="4" t="s">
        <v>285</v>
      </c>
      <c r="I180" t="s">
        <v>172</v>
      </c>
    </row>
    <row r="181" spans="1:9" x14ac:dyDescent="0.3">
      <c r="A181" s="4" t="s">
        <v>361</v>
      </c>
      <c r="B181" s="4" t="s">
        <v>284</v>
      </c>
      <c r="C181" s="5">
        <v>45958</v>
      </c>
      <c r="D181" s="4">
        <v>50</v>
      </c>
      <c r="E181" s="4">
        <v>9008.2000000000007</v>
      </c>
      <c r="F181" s="4">
        <v>0</v>
      </c>
      <c r="G181" s="4">
        <v>450410</v>
      </c>
      <c r="H181" s="4" t="s">
        <v>285</v>
      </c>
      <c r="I181" t="s">
        <v>172</v>
      </c>
    </row>
    <row r="182" spans="1:9" x14ac:dyDescent="0.3">
      <c r="A182" s="4" t="s">
        <v>362</v>
      </c>
      <c r="B182" s="4" t="s">
        <v>284</v>
      </c>
      <c r="C182" s="5">
        <v>45961</v>
      </c>
      <c r="D182" s="4">
        <v>50</v>
      </c>
      <c r="E182" s="4">
        <v>9039.0499999999993</v>
      </c>
      <c r="F182" s="4">
        <v>0</v>
      </c>
      <c r="G182" s="4">
        <v>451952.5</v>
      </c>
      <c r="H182" s="4" t="s">
        <v>285</v>
      </c>
      <c r="I182" t="s">
        <v>172</v>
      </c>
    </row>
    <row r="183" spans="1:9" x14ac:dyDescent="0.3">
      <c r="A183" s="4" t="s">
        <v>371</v>
      </c>
      <c r="B183" s="4" t="s">
        <v>284</v>
      </c>
      <c r="C183" s="5">
        <v>45961</v>
      </c>
      <c r="D183" s="4">
        <v>150</v>
      </c>
      <c r="E183" s="4">
        <v>9669</v>
      </c>
      <c r="F183" s="4">
        <v>0</v>
      </c>
      <c r="G183" s="4">
        <v>1450350</v>
      </c>
      <c r="H183" s="4" t="s">
        <v>285</v>
      </c>
      <c r="I183" t="s">
        <v>172</v>
      </c>
    </row>
    <row r="184" spans="1:9" hidden="1" x14ac:dyDescent="0.3">
      <c r="A184" s="4" t="s">
        <v>171</v>
      </c>
      <c r="B184" s="4" t="s">
        <v>311</v>
      </c>
      <c r="D184" s="4">
        <v>175</v>
      </c>
      <c r="E184" s="4">
        <v>9352.9429</v>
      </c>
      <c r="F184" s="4">
        <v>0</v>
      </c>
      <c r="G184" s="4">
        <v>1636765</v>
      </c>
      <c r="H184" s="4">
        <v>1636765</v>
      </c>
    </row>
    <row r="185" spans="1:9" x14ac:dyDescent="0.3">
      <c r="A185" s="1" t="s">
        <v>388</v>
      </c>
      <c r="B185" s="1" t="s">
        <v>284</v>
      </c>
      <c r="C185" s="2">
        <v>45965</v>
      </c>
      <c r="D185" s="1">
        <v>20</v>
      </c>
      <c r="E185" s="1">
        <v>15317.2</v>
      </c>
      <c r="F185" s="1">
        <v>0</v>
      </c>
      <c r="G185" s="1">
        <v>306344</v>
      </c>
      <c r="H185" s="1" t="s">
        <v>285</v>
      </c>
      <c r="I185" t="s">
        <v>47</v>
      </c>
    </row>
    <row r="186" spans="1:9" x14ac:dyDescent="0.3">
      <c r="A186" s="1" t="s">
        <v>388</v>
      </c>
      <c r="B186" s="1" t="s">
        <v>284</v>
      </c>
      <c r="C186" s="2">
        <v>45965</v>
      </c>
      <c r="D186" s="1">
        <v>20</v>
      </c>
      <c r="E186" s="1">
        <v>27758.7</v>
      </c>
      <c r="F186" s="1">
        <v>0</v>
      </c>
      <c r="G186" s="1">
        <v>555174</v>
      </c>
      <c r="H186" s="1" t="s">
        <v>285</v>
      </c>
      <c r="I186" t="s">
        <v>47</v>
      </c>
    </row>
    <row r="187" spans="1:9" x14ac:dyDescent="0.3">
      <c r="A187" s="1" t="s">
        <v>388</v>
      </c>
      <c r="B187" s="1" t="s">
        <v>284</v>
      </c>
      <c r="C187" s="2">
        <v>45965</v>
      </c>
      <c r="D187" s="1">
        <v>25</v>
      </c>
      <c r="E187" s="1">
        <v>13380.2</v>
      </c>
      <c r="F187" s="1">
        <v>0</v>
      </c>
      <c r="G187" s="1">
        <v>334505</v>
      </c>
      <c r="H187" s="1" t="s">
        <v>285</v>
      </c>
      <c r="I187" t="s">
        <v>47</v>
      </c>
    </row>
    <row r="188" spans="1:9" x14ac:dyDescent="0.3">
      <c r="A188" s="1" t="s">
        <v>395</v>
      </c>
      <c r="B188" s="1" t="s">
        <v>284</v>
      </c>
      <c r="C188" s="2">
        <v>45966</v>
      </c>
      <c r="D188" s="1">
        <v>75</v>
      </c>
      <c r="E188" s="1">
        <v>9652.5</v>
      </c>
      <c r="F188" s="1">
        <v>0</v>
      </c>
      <c r="G188" s="1">
        <v>723937.5</v>
      </c>
      <c r="H188" s="1" t="s">
        <v>285</v>
      </c>
      <c r="I188" t="s">
        <v>47</v>
      </c>
    </row>
    <row r="189" spans="1:9" hidden="1" x14ac:dyDescent="0.3">
      <c r="A189" s="1" t="s">
        <v>46</v>
      </c>
      <c r="B189" s="1" t="s">
        <v>291</v>
      </c>
      <c r="D189" s="1">
        <v>100</v>
      </c>
      <c r="E189" s="1">
        <v>8807.6749999999993</v>
      </c>
      <c r="F189" s="1">
        <v>0</v>
      </c>
      <c r="G189" s="1">
        <v>880767.5</v>
      </c>
      <c r="H189" s="1">
        <v>880767.5</v>
      </c>
    </row>
    <row r="190" spans="1:9" x14ac:dyDescent="0.3">
      <c r="A190" s="1" t="s">
        <v>384</v>
      </c>
      <c r="B190" s="1" t="s">
        <v>284</v>
      </c>
      <c r="C190" s="2">
        <v>45967</v>
      </c>
      <c r="D190" s="1">
        <v>75</v>
      </c>
      <c r="E190" s="1">
        <v>9735</v>
      </c>
      <c r="F190" s="1">
        <v>0</v>
      </c>
      <c r="G190" s="1">
        <v>730125</v>
      </c>
      <c r="H190" s="1" t="s">
        <v>285</v>
      </c>
      <c r="I190" t="s">
        <v>30</v>
      </c>
    </row>
    <row r="191" spans="1:9" x14ac:dyDescent="0.3">
      <c r="A191" s="1" t="s">
        <v>384</v>
      </c>
      <c r="B191" s="1" t="s">
        <v>284</v>
      </c>
      <c r="C191" s="2">
        <v>45967</v>
      </c>
      <c r="D191" s="1">
        <v>25</v>
      </c>
      <c r="E191" s="1">
        <v>9528.5</v>
      </c>
      <c r="F191" s="1">
        <v>0</v>
      </c>
      <c r="G191" s="1">
        <v>238212.5</v>
      </c>
      <c r="H191" s="1" t="s">
        <v>285</v>
      </c>
      <c r="I191" t="s">
        <v>30</v>
      </c>
    </row>
    <row r="192" spans="1:9" x14ac:dyDescent="0.3">
      <c r="A192" s="1" t="s">
        <v>385</v>
      </c>
      <c r="B192" s="1" t="s">
        <v>284</v>
      </c>
      <c r="C192" s="2">
        <v>45971</v>
      </c>
      <c r="D192" s="1">
        <v>50</v>
      </c>
      <c r="E192" s="1">
        <v>9537</v>
      </c>
      <c r="F192" s="1">
        <v>0</v>
      </c>
      <c r="G192" s="1">
        <v>476850</v>
      </c>
      <c r="H192" s="1" t="s">
        <v>285</v>
      </c>
      <c r="I192" t="s">
        <v>30</v>
      </c>
    </row>
    <row r="193" spans="1:9" x14ac:dyDescent="0.3">
      <c r="A193" s="1" t="s">
        <v>385</v>
      </c>
      <c r="B193" s="1" t="s">
        <v>284</v>
      </c>
      <c r="C193" s="2">
        <v>45971</v>
      </c>
      <c r="D193" s="1">
        <v>20</v>
      </c>
      <c r="E193" s="1">
        <v>14854.6</v>
      </c>
      <c r="F193" s="1">
        <v>0</v>
      </c>
      <c r="G193" s="1">
        <v>297092</v>
      </c>
      <c r="H193" s="1" t="s">
        <v>285</v>
      </c>
      <c r="I193" t="s">
        <v>30</v>
      </c>
    </row>
    <row r="194" spans="1:9" x14ac:dyDescent="0.3">
      <c r="A194" s="1" t="s">
        <v>392</v>
      </c>
      <c r="B194" s="1" t="s">
        <v>284</v>
      </c>
      <c r="C194" s="2">
        <v>45971</v>
      </c>
      <c r="D194" s="1">
        <v>25</v>
      </c>
      <c r="E194" s="1">
        <v>11892.35</v>
      </c>
      <c r="F194" s="1">
        <v>0</v>
      </c>
      <c r="G194" s="1">
        <v>297308.75</v>
      </c>
      <c r="H194" s="1" t="s">
        <v>285</v>
      </c>
      <c r="I194" t="s">
        <v>30</v>
      </c>
    </row>
    <row r="195" spans="1:9" x14ac:dyDescent="0.3">
      <c r="A195" s="1" t="s">
        <v>385</v>
      </c>
      <c r="B195" s="1" t="s">
        <v>284</v>
      </c>
      <c r="C195" s="2">
        <v>45971</v>
      </c>
      <c r="D195" s="1">
        <v>25</v>
      </c>
      <c r="E195" s="1">
        <v>13741.95</v>
      </c>
      <c r="F195" s="1">
        <v>0</v>
      </c>
      <c r="G195" s="1">
        <v>343548.75</v>
      </c>
      <c r="H195" s="1" t="s">
        <v>285</v>
      </c>
      <c r="I195" t="s">
        <v>30</v>
      </c>
    </row>
    <row r="196" spans="1:9" hidden="1" x14ac:dyDescent="0.3">
      <c r="A196" s="1" t="s">
        <v>29</v>
      </c>
      <c r="B196" s="1" t="s">
        <v>303</v>
      </c>
      <c r="D196" s="1">
        <v>450</v>
      </c>
      <c r="E196" s="1">
        <v>9593.8333000000002</v>
      </c>
      <c r="F196" s="1">
        <v>0</v>
      </c>
      <c r="G196" s="1">
        <v>4317225</v>
      </c>
      <c r="H196" s="1">
        <v>4317225</v>
      </c>
    </row>
    <row r="197" spans="1:9" x14ac:dyDescent="0.3">
      <c r="A197" s="1" t="s">
        <v>396</v>
      </c>
      <c r="B197" s="1" t="s">
        <v>284</v>
      </c>
      <c r="C197" s="2">
        <v>45971</v>
      </c>
      <c r="D197" s="1">
        <v>25</v>
      </c>
      <c r="E197" s="1">
        <v>13741.95</v>
      </c>
      <c r="F197" s="1">
        <v>0</v>
      </c>
      <c r="G197" s="1">
        <v>343548.75</v>
      </c>
      <c r="H197" s="1" t="s">
        <v>285</v>
      </c>
      <c r="I197" t="s">
        <v>50</v>
      </c>
    </row>
    <row r="198" spans="1:9" x14ac:dyDescent="0.3">
      <c r="A198" s="1" t="s">
        <v>391</v>
      </c>
      <c r="B198" s="1" t="s">
        <v>284</v>
      </c>
      <c r="C198" s="2">
        <v>45973</v>
      </c>
      <c r="D198" s="1">
        <v>25</v>
      </c>
      <c r="E198" s="1">
        <v>12976.1</v>
      </c>
      <c r="F198" s="1">
        <v>0</v>
      </c>
      <c r="G198" s="1">
        <v>324402.5</v>
      </c>
      <c r="H198" s="1" t="s">
        <v>285</v>
      </c>
      <c r="I198" t="s">
        <v>50</v>
      </c>
    </row>
    <row r="199" spans="1:9" x14ac:dyDescent="0.3">
      <c r="A199" s="1" t="s">
        <v>391</v>
      </c>
      <c r="B199" s="1" t="s">
        <v>284</v>
      </c>
      <c r="C199" s="2">
        <v>45973</v>
      </c>
      <c r="D199" s="1">
        <v>25</v>
      </c>
      <c r="E199" s="1">
        <v>11892.35</v>
      </c>
      <c r="F199" s="1">
        <v>0</v>
      </c>
      <c r="G199" s="1">
        <v>297308.75</v>
      </c>
      <c r="H199" s="1" t="s">
        <v>285</v>
      </c>
      <c r="I199" t="s">
        <v>50</v>
      </c>
    </row>
    <row r="200" spans="1:9" hidden="1" x14ac:dyDescent="0.3">
      <c r="A200" s="1" t="s">
        <v>49</v>
      </c>
      <c r="B200" s="1" t="s">
        <v>304</v>
      </c>
      <c r="D200" s="1">
        <v>60</v>
      </c>
      <c r="E200" s="1">
        <v>14228.5</v>
      </c>
      <c r="F200" s="1">
        <v>0</v>
      </c>
      <c r="G200" s="1">
        <v>853710</v>
      </c>
      <c r="H200" s="1">
        <v>853710</v>
      </c>
    </row>
    <row r="201" spans="1:9" x14ac:dyDescent="0.3">
      <c r="A201" s="1" t="s">
        <v>391</v>
      </c>
      <c r="B201" s="1" t="s">
        <v>284</v>
      </c>
      <c r="C201" s="2">
        <v>45973</v>
      </c>
      <c r="D201" s="1">
        <v>25</v>
      </c>
      <c r="E201" s="1">
        <v>13741.95</v>
      </c>
      <c r="F201" s="1">
        <v>0</v>
      </c>
      <c r="G201" s="1">
        <v>343548.75</v>
      </c>
      <c r="H201" s="1" t="s">
        <v>285</v>
      </c>
      <c r="I201" t="s">
        <v>420</v>
      </c>
    </row>
    <row r="202" spans="1:9" x14ac:dyDescent="0.3">
      <c r="A202" s="1" t="s">
        <v>397</v>
      </c>
      <c r="B202" s="1" t="s">
        <v>284</v>
      </c>
      <c r="C202" s="2">
        <v>45973</v>
      </c>
      <c r="D202" s="1">
        <v>-25</v>
      </c>
      <c r="E202" s="1">
        <v>13741.95</v>
      </c>
      <c r="F202" s="1">
        <v>0</v>
      </c>
      <c r="G202" s="1">
        <v>-343548.75</v>
      </c>
      <c r="H202" s="1" t="s">
        <v>394</v>
      </c>
      <c r="I202" t="s">
        <v>420</v>
      </c>
    </row>
    <row r="203" spans="1:9" x14ac:dyDescent="0.3">
      <c r="A203" s="1" t="s">
        <v>386</v>
      </c>
      <c r="B203" s="1" t="s">
        <v>284</v>
      </c>
      <c r="C203" s="2">
        <v>45974</v>
      </c>
      <c r="D203" s="1">
        <v>150</v>
      </c>
      <c r="E203" s="1">
        <v>9471</v>
      </c>
      <c r="F203" s="1">
        <v>0</v>
      </c>
      <c r="G203" s="1">
        <v>1420650</v>
      </c>
      <c r="H203" s="1" t="s">
        <v>285</v>
      </c>
      <c r="I203" t="s">
        <v>420</v>
      </c>
    </row>
    <row r="204" spans="1:9" x14ac:dyDescent="0.3">
      <c r="A204" s="1" t="s">
        <v>386</v>
      </c>
      <c r="B204" s="1" t="s">
        <v>284</v>
      </c>
      <c r="C204" s="2">
        <v>45974</v>
      </c>
      <c r="D204" s="1">
        <v>20</v>
      </c>
      <c r="E204" s="1">
        <v>14278.25</v>
      </c>
      <c r="F204" s="1">
        <v>0</v>
      </c>
      <c r="G204" s="1">
        <v>285565</v>
      </c>
      <c r="H204" s="1" t="s">
        <v>285</v>
      </c>
      <c r="I204" t="s">
        <v>420</v>
      </c>
    </row>
    <row r="205" spans="1:9" x14ac:dyDescent="0.3">
      <c r="A205" s="1" t="s">
        <v>380</v>
      </c>
      <c r="B205" s="1" t="s">
        <v>284</v>
      </c>
      <c r="C205" s="2">
        <v>45975</v>
      </c>
      <c r="D205" s="1">
        <v>25</v>
      </c>
      <c r="E205" s="1">
        <v>8823.1</v>
      </c>
      <c r="F205" s="1">
        <v>0</v>
      </c>
      <c r="G205" s="1">
        <v>220577.5</v>
      </c>
      <c r="H205" s="1" t="s">
        <v>285</v>
      </c>
      <c r="I205" t="s">
        <v>420</v>
      </c>
    </row>
    <row r="206" spans="1:9" hidden="1" x14ac:dyDescent="0.3">
      <c r="A206" s="1" t="s">
        <v>58</v>
      </c>
      <c r="B206" s="1" t="s">
        <v>305</v>
      </c>
      <c r="D206" s="1">
        <v>100</v>
      </c>
      <c r="E206" s="1">
        <v>14885.44</v>
      </c>
      <c r="F206" s="1">
        <v>0</v>
      </c>
      <c r="G206" s="1">
        <v>1488544</v>
      </c>
      <c r="H206" s="1">
        <v>1488544</v>
      </c>
    </row>
    <row r="207" spans="1:9" x14ac:dyDescent="0.3">
      <c r="A207" s="1" t="s">
        <v>380</v>
      </c>
      <c r="B207" s="1" t="s">
        <v>284</v>
      </c>
      <c r="C207" s="2">
        <v>45975</v>
      </c>
      <c r="D207" s="1">
        <v>50</v>
      </c>
      <c r="E207" s="1">
        <v>9438</v>
      </c>
      <c r="F207" s="1">
        <v>0</v>
      </c>
      <c r="G207" s="1">
        <v>471900</v>
      </c>
      <c r="H207" s="1" t="s">
        <v>285</v>
      </c>
      <c r="I207" t="s">
        <v>62</v>
      </c>
    </row>
    <row r="208" spans="1:9" hidden="1" x14ac:dyDescent="0.3">
      <c r="A208" s="1" t="s">
        <v>61</v>
      </c>
      <c r="B208" s="1" t="s">
        <v>306</v>
      </c>
      <c r="D208" s="1">
        <v>25</v>
      </c>
      <c r="E208" s="1">
        <v>9528.5</v>
      </c>
      <c r="F208" s="1">
        <v>0</v>
      </c>
      <c r="G208" s="1">
        <v>238212.5</v>
      </c>
      <c r="H208" s="1">
        <v>238212.5</v>
      </c>
    </row>
    <row r="209" spans="1:9" x14ac:dyDescent="0.3">
      <c r="A209" s="1" t="s">
        <v>380</v>
      </c>
      <c r="B209" s="1" t="s">
        <v>284</v>
      </c>
      <c r="C209" s="2">
        <v>45975</v>
      </c>
      <c r="D209" s="1">
        <v>20</v>
      </c>
      <c r="E209" s="1">
        <v>14700.4</v>
      </c>
      <c r="F209" s="1">
        <v>0</v>
      </c>
      <c r="G209" s="1">
        <v>294008</v>
      </c>
      <c r="H209" s="1" t="s">
        <v>285</v>
      </c>
      <c r="I209" t="s">
        <v>76</v>
      </c>
    </row>
    <row r="210" spans="1:9" hidden="1" x14ac:dyDescent="0.3">
      <c r="A210" s="1" t="s">
        <v>75</v>
      </c>
      <c r="B210" s="1" t="s">
        <v>390</v>
      </c>
      <c r="D210" s="1">
        <v>20</v>
      </c>
      <c r="E210" s="1">
        <v>27758.7</v>
      </c>
      <c r="F210" s="1">
        <v>0</v>
      </c>
      <c r="G210" s="1">
        <v>555174</v>
      </c>
      <c r="H210" s="1">
        <v>555174</v>
      </c>
    </row>
    <row r="211" spans="1:9" x14ac:dyDescent="0.3">
      <c r="A211" s="1" t="s">
        <v>381</v>
      </c>
      <c r="B211" s="1" t="s">
        <v>284</v>
      </c>
      <c r="C211" s="2">
        <v>45978</v>
      </c>
      <c r="D211" s="1">
        <v>25</v>
      </c>
      <c r="E211" s="1">
        <v>8792.25</v>
      </c>
      <c r="F211" s="1">
        <v>0</v>
      </c>
      <c r="G211" s="1">
        <v>219806.25</v>
      </c>
      <c r="H211" s="1" t="s">
        <v>285</v>
      </c>
      <c r="I211" t="s">
        <v>130</v>
      </c>
    </row>
    <row r="212" spans="1:9" x14ac:dyDescent="0.3">
      <c r="A212" s="1" t="s">
        <v>381</v>
      </c>
      <c r="B212" s="1" t="s">
        <v>284</v>
      </c>
      <c r="C212" s="2">
        <v>45978</v>
      </c>
      <c r="D212" s="1">
        <v>25</v>
      </c>
      <c r="E212" s="1">
        <v>11400</v>
      </c>
      <c r="F212" s="1">
        <v>0</v>
      </c>
      <c r="G212" s="1">
        <v>285000</v>
      </c>
      <c r="H212" s="1" t="s">
        <v>285</v>
      </c>
      <c r="I212" t="s">
        <v>130</v>
      </c>
    </row>
    <row r="213" spans="1:9" hidden="1" x14ac:dyDescent="0.3">
      <c r="A213" s="1" t="s">
        <v>129</v>
      </c>
      <c r="B213" s="1" t="s">
        <v>327</v>
      </c>
      <c r="D213" s="1">
        <v>50</v>
      </c>
      <c r="E213" s="1">
        <v>13178.15</v>
      </c>
      <c r="F213" s="1">
        <v>0</v>
      </c>
      <c r="G213" s="1">
        <v>658907.5</v>
      </c>
      <c r="H213" s="1">
        <v>658907.5</v>
      </c>
    </row>
    <row r="214" spans="1:9" x14ac:dyDescent="0.3">
      <c r="A214" s="1" t="s">
        <v>387</v>
      </c>
      <c r="B214" s="1" t="s">
        <v>284</v>
      </c>
      <c r="C214" s="2">
        <v>45979</v>
      </c>
      <c r="D214" s="1">
        <v>50</v>
      </c>
      <c r="E214" s="1">
        <v>9339</v>
      </c>
      <c r="F214" s="1">
        <v>0</v>
      </c>
      <c r="G214" s="1">
        <v>466950</v>
      </c>
      <c r="H214" s="1" t="s">
        <v>285</v>
      </c>
      <c r="I214" t="s">
        <v>421</v>
      </c>
    </row>
    <row r="215" spans="1:9" x14ac:dyDescent="0.3">
      <c r="A215" s="1" t="s">
        <v>387</v>
      </c>
      <c r="B215" s="1" t="s">
        <v>284</v>
      </c>
      <c r="C215" s="2">
        <v>45979</v>
      </c>
      <c r="D215" s="1">
        <v>25</v>
      </c>
      <c r="E215" s="1">
        <v>11320</v>
      </c>
      <c r="F215" s="1">
        <v>0</v>
      </c>
      <c r="G215" s="1">
        <v>283000</v>
      </c>
      <c r="H215" s="1" t="s">
        <v>285</v>
      </c>
      <c r="I215" t="s">
        <v>421</v>
      </c>
    </row>
    <row r="216" spans="1:9" hidden="1" x14ac:dyDescent="0.3">
      <c r="A216" s="1" t="s">
        <v>307</v>
      </c>
      <c r="B216" s="1" t="s">
        <v>308</v>
      </c>
      <c r="D216" s="1">
        <v>50</v>
      </c>
      <c r="E216" s="1">
        <v>11892.35</v>
      </c>
      <c r="F216" s="1">
        <v>0</v>
      </c>
      <c r="G216" s="1">
        <v>594617.5</v>
      </c>
      <c r="H216" s="1">
        <v>594617.5</v>
      </c>
    </row>
    <row r="217" spans="1:9" x14ac:dyDescent="0.3">
      <c r="A217" s="1" t="s">
        <v>382</v>
      </c>
      <c r="B217" s="1" t="s">
        <v>284</v>
      </c>
      <c r="C217" s="2">
        <v>45980</v>
      </c>
      <c r="D217" s="1">
        <v>25</v>
      </c>
      <c r="E217" s="1">
        <v>8792.25</v>
      </c>
      <c r="F217" s="1">
        <v>0</v>
      </c>
      <c r="G217" s="1">
        <v>219806.25</v>
      </c>
      <c r="H217" s="1" t="s">
        <v>285</v>
      </c>
      <c r="I217" t="s">
        <v>32</v>
      </c>
    </row>
    <row r="218" spans="1:9" x14ac:dyDescent="0.3">
      <c r="A218" s="1" t="s">
        <v>382</v>
      </c>
      <c r="B218" s="1" t="s">
        <v>284</v>
      </c>
      <c r="C218" s="2">
        <v>45980</v>
      </c>
      <c r="D218" s="1">
        <v>20</v>
      </c>
      <c r="E218" s="1">
        <v>14178.75</v>
      </c>
      <c r="F218" s="1">
        <v>0</v>
      </c>
      <c r="G218" s="1">
        <v>283575</v>
      </c>
      <c r="H218" s="1" t="s">
        <v>285</v>
      </c>
      <c r="I218" t="s">
        <v>32</v>
      </c>
    </row>
    <row r="219" spans="1:9" x14ac:dyDescent="0.3">
      <c r="A219" s="1" t="s">
        <v>382</v>
      </c>
      <c r="B219" s="1" t="s">
        <v>284</v>
      </c>
      <c r="C219" s="2">
        <v>45980</v>
      </c>
      <c r="D219" s="1">
        <v>20</v>
      </c>
      <c r="E219" s="1">
        <v>14649</v>
      </c>
      <c r="F219" s="1">
        <v>0</v>
      </c>
      <c r="G219" s="1">
        <v>292980</v>
      </c>
      <c r="H219" s="1" t="s">
        <v>285</v>
      </c>
      <c r="I219" t="s">
        <v>32</v>
      </c>
    </row>
    <row r="220" spans="1:9" x14ac:dyDescent="0.3">
      <c r="A220" s="1" t="s">
        <v>382</v>
      </c>
      <c r="B220" s="1" t="s">
        <v>284</v>
      </c>
      <c r="C220" s="2">
        <v>45980</v>
      </c>
      <c r="D220" s="1">
        <v>25</v>
      </c>
      <c r="E220" s="1">
        <v>11400</v>
      </c>
      <c r="F220" s="1">
        <v>0</v>
      </c>
      <c r="G220" s="1">
        <v>285000</v>
      </c>
      <c r="H220" s="1" t="s">
        <v>285</v>
      </c>
      <c r="I220" t="s">
        <v>32</v>
      </c>
    </row>
    <row r="221" spans="1:9" x14ac:dyDescent="0.3">
      <c r="A221" s="1" t="s">
        <v>383</v>
      </c>
      <c r="B221" s="1" t="s">
        <v>284</v>
      </c>
      <c r="C221" s="2">
        <v>45981</v>
      </c>
      <c r="D221" s="1">
        <v>25</v>
      </c>
      <c r="E221" s="1">
        <v>8823.1</v>
      </c>
      <c r="F221" s="1">
        <v>0</v>
      </c>
      <c r="G221" s="1">
        <v>220577.5</v>
      </c>
      <c r="H221" s="1" t="s">
        <v>285</v>
      </c>
      <c r="I221" t="s">
        <v>32</v>
      </c>
    </row>
    <row r="222" spans="1:9" hidden="1" x14ac:dyDescent="0.3">
      <c r="A222" s="1" t="s">
        <v>31</v>
      </c>
      <c r="B222" s="1" t="s">
        <v>330</v>
      </c>
      <c r="D222" s="1">
        <v>100</v>
      </c>
      <c r="E222" s="1">
        <v>11430</v>
      </c>
      <c r="F222" s="1">
        <v>0</v>
      </c>
      <c r="G222" s="1">
        <v>1143000</v>
      </c>
      <c r="H222" s="1">
        <v>1143000</v>
      </c>
    </row>
    <row r="223" spans="1:9" x14ac:dyDescent="0.3">
      <c r="A223" s="1" t="s">
        <v>383</v>
      </c>
      <c r="B223" s="1" t="s">
        <v>284</v>
      </c>
      <c r="C223" s="2">
        <v>45981</v>
      </c>
      <c r="D223" s="1">
        <v>75</v>
      </c>
      <c r="E223" s="1">
        <v>10010</v>
      </c>
      <c r="F223" s="1">
        <v>0</v>
      </c>
      <c r="G223" s="1">
        <v>750750</v>
      </c>
      <c r="H223" s="1" t="s">
        <v>285</v>
      </c>
      <c r="I223" t="s">
        <v>172</v>
      </c>
    </row>
    <row r="224" spans="1:9" x14ac:dyDescent="0.3">
      <c r="A224" s="1" t="s">
        <v>383</v>
      </c>
      <c r="B224" s="1" t="s">
        <v>284</v>
      </c>
      <c r="C224" s="2">
        <v>45981</v>
      </c>
      <c r="D224" s="1">
        <v>20</v>
      </c>
      <c r="E224" s="1">
        <v>14228.5</v>
      </c>
      <c r="F224" s="1">
        <v>0</v>
      </c>
      <c r="G224" s="1">
        <v>284570</v>
      </c>
      <c r="H224" s="1" t="s">
        <v>285</v>
      </c>
      <c r="I224" t="s">
        <v>172</v>
      </c>
    </row>
    <row r="225" spans="1:9" hidden="1" x14ac:dyDescent="0.3">
      <c r="A225" s="1" t="s">
        <v>171</v>
      </c>
      <c r="B225" s="1" t="s">
        <v>311</v>
      </c>
      <c r="D225" s="1">
        <v>125</v>
      </c>
      <c r="E225" s="1">
        <v>9320.74</v>
      </c>
      <c r="F225" s="1">
        <v>0</v>
      </c>
      <c r="G225" s="1">
        <v>1165092.5</v>
      </c>
      <c r="H225" s="1">
        <v>1165092.5</v>
      </c>
    </row>
    <row r="226" spans="1:9" x14ac:dyDescent="0.3">
      <c r="A226" s="1" t="s">
        <v>383</v>
      </c>
      <c r="B226" s="1" t="s">
        <v>284</v>
      </c>
      <c r="C226" s="2">
        <v>45981</v>
      </c>
      <c r="D226" s="1">
        <v>50</v>
      </c>
      <c r="E226" s="1">
        <v>8823.1</v>
      </c>
      <c r="F226" s="1">
        <v>0</v>
      </c>
      <c r="G226" s="1">
        <v>441155</v>
      </c>
      <c r="H226" s="1" t="s">
        <v>285</v>
      </c>
      <c r="I226" t="s">
        <v>425</v>
      </c>
    </row>
    <row r="227" spans="1:9" x14ac:dyDescent="0.3">
      <c r="A227" s="1" t="s">
        <v>389</v>
      </c>
      <c r="B227" s="1" t="s">
        <v>284</v>
      </c>
      <c r="C227" s="2">
        <v>45986</v>
      </c>
      <c r="D227" s="1">
        <v>20</v>
      </c>
      <c r="E227" s="1">
        <v>14906</v>
      </c>
      <c r="F227" s="1">
        <v>0</v>
      </c>
      <c r="G227" s="1">
        <v>298120</v>
      </c>
      <c r="H227" s="1" t="s">
        <v>285</v>
      </c>
      <c r="I227" t="s">
        <v>425</v>
      </c>
    </row>
    <row r="228" spans="1:9" x14ac:dyDescent="0.3">
      <c r="A228" s="1" t="s">
        <v>389</v>
      </c>
      <c r="B228" s="1" t="s">
        <v>284</v>
      </c>
      <c r="C228" s="2">
        <v>45986</v>
      </c>
      <c r="D228" s="1">
        <v>251</v>
      </c>
      <c r="E228" s="1">
        <v>11600</v>
      </c>
      <c r="F228" s="1">
        <v>0</v>
      </c>
      <c r="G228" s="1">
        <v>2911600</v>
      </c>
      <c r="H228" s="1" t="s">
        <v>285</v>
      </c>
      <c r="I228" t="s">
        <v>425</v>
      </c>
    </row>
    <row r="229" spans="1:9" x14ac:dyDescent="0.3">
      <c r="A229" s="1" t="s">
        <v>393</v>
      </c>
      <c r="B229" s="1" t="s">
        <v>284</v>
      </c>
      <c r="C229" s="2">
        <v>45986</v>
      </c>
      <c r="D229" s="1">
        <v>-226</v>
      </c>
      <c r="E229" s="1">
        <v>11600</v>
      </c>
      <c r="F229" s="1">
        <v>0</v>
      </c>
      <c r="G229" s="1">
        <v>-2621600</v>
      </c>
      <c r="H229" s="1" t="s">
        <v>394</v>
      </c>
      <c r="I229" t="s">
        <v>425</v>
      </c>
    </row>
    <row r="230" spans="1:9" hidden="1" x14ac:dyDescent="0.3">
      <c r="A230" s="1" t="s">
        <v>398</v>
      </c>
      <c r="B230" s="1" t="s">
        <v>399</v>
      </c>
      <c r="D230" s="1">
        <v>50</v>
      </c>
      <c r="E230" s="1">
        <v>13741.95</v>
      </c>
      <c r="F230" s="1">
        <v>0</v>
      </c>
      <c r="G230" s="1">
        <v>687097.5</v>
      </c>
      <c r="H230" s="1">
        <v>687097.5</v>
      </c>
    </row>
    <row r="231" spans="1:9" x14ac:dyDescent="0.3">
      <c r="A231" s="1" t="s">
        <v>400</v>
      </c>
      <c r="B231" s="1" t="s">
        <v>284</v>
      </c>
      <c r="C231" s="2">
        <v>45992</v>
      </c>
      <c r="D231" s="1">
        <v>25</v>
      </c>
      <c r="E231" s="1">
        <v>9100.75</v>
      </c>
      <c r="F231" s="1">
        <v>0</v>
      </c>
      <c r="G231" s="1">
        <v>227518.75</v>
      </c>
      <c r="H231" s="1" t="s">
        <v>285</v>
      </c>
      <c r="I231" t="s">
        <v>47</v>
      </c>
    </row>
    <row r="232" spans="1:9" x14ac:dyDescent="0.3">
      <c r="A232" s="1" t="s">
        <v>400</v>
      </c>
      <c r="B232" s="1" t="s">
        <v>284</v>
      </c>
      <c r="C232" s="2">
        <v>45992</v>
      </c>
      <c r="D232" s="1">
        <v>50</v>
      </c>
      <c r="E232" s="1">
        <v>9587.5</v>
      </c>
      <c r="F232" s="1">
        <v>0</v>
      </c>
      <c r="G232" s="1">
        <v>479375</v>
      </c>
      <c r="H232" s="1" t="s">
        <v>285</v>
      </c>
      <c r="I232" t="s">
        <v>47</v>
      </c>
    </row>
    <row r="233" spans="1:9" x14ac:dyDescent="0.3">
      <c r="A233" s="1" t="s">
        <v>401</v>
      </c>
      <c r="B233" s="1" t="s">
        <v>284</v>
      </c>
      <c r="C233" s="2">
        <v>45994</v>
      </c>
      <c r="D233" s="1">
        <v>25</v>
      </c>
      <c r="E233" s="1">
        <v>9131.6</v>
      </c>
      <c r="F233" s="1">
        <v>0</v>
      </c>
      <c r="G233" s="1">
        <v>228290</v>
      </c>
      <c r="H233" s="1" t="s">
        <v>285</v>
      </c>
      <c r="I233" t="s">
        <v>47</v>
      </c>
    </row>
    <row r="234" spans="1:9" x14ac:dyDescent="0.3">
      <c r="A234" s="1" t="s">
        <v>401</v>
      </c>
      <c r="B234" s="1" t="s">
        <v>284</v>
      </c>
      <c r="C234" s="2">
        <v>45994</v>
      </c>
      <c r="D234" s="1">
        <v>50</v>
      </c>
      <c r="E234" s="1">
        <v>9620</v>
      </c>
      <c r="F234" s="1">
        <v>0</v>
      </c>
      <c r="G234" s="1">
        <v>481000</v>
      </c>
      <c r="H234" s="1" t="s">
        <v>285</v>
      </c>
      <c r="I234" t="s">
        <v>47</v>
      </c>
    </row>
    <row r="235" spans="1:9" x14ac:dyDescent="0.3">
      <c r="A235" s="1" t="s">
        <v>402</v>
      </c>
      <c r="B235" s="1" t="s">
        <v>284</v>
      </c>
      <c r="C235" s="2">
        <v>45996</v>
      </c>
      <c r="D235" s="1">
        <v>25</v>
      </c>
      <c r="E235" s="1">
        <v>9069.9</v>
      </c>
      <c r="F235" s="1">
        <v>0</v>
      </c>
      <c r="G235" s="1">
        <v>226747.5</v>
      </c>
      <c r="H235" s="1" t="s">
        <v>285</v>
      </c>
      <c r="I235" t="s">
        <v>47</v>
      </c>
    </row>
    <row r="236" spans="1:9" x14ac:dyDescent="0.3">
      <c r="A236" s="1" t="s">
        <v>402</v>
      </c>
      <c r="B236" s="1" t="s">
        <v>284</v>
      </c>
      <c r="C236" s="2">
        <v>45996</v>
      </c>
      <c r="D236" s="1">
        <v>20</v>
      </c>
      <c r="E236" s="1">
        <v>14626.5</v>
      </c>
      <c r="F236" s="1">
        <v>0</v>
      </c>
      <c r="G236" s="1">
        <v>292530</v>
      </c>
      <c r="H236" s="1" t="s">
        <v>285</v>
      </c>
      <c r="I236" t="s">
        <v>47</v>
      </c>
    </row>
    <row r="237" spans="1:9" x14ac:dyDescent="0.3">
      <c r="A237" s="1" t="s">
        <v>402</v>
      </c>
      <c r="B237" s="1" t="s">
        <v>284</v>
      </c>
      <c r="C237" s="2">
        <v>45996</v>
      </c>
      <c r="D237" s="1">
        <v>25</v>
      </c>
      <c r="E237" s="1">
        <v>13200.6</v>
      </c>
      <c r="F237" s="1">
        <v>0</v>
      </c>
      <c r="G237" s="1">
        <v>330015</v>
      </c>
      <c r="H237" s="1" t="s">
        <v>285</v>
      </c>
      <c r="I237" t="s">
        <v>47</v>
      </c>
    </row>
    <row r="238" spans="1:9" hidden="1" x14ac:dyDescent="0.3">
      <c r="A238" s="1" t="s">
        <v>46</v>
      </c>
      <c r="B238" s="1" t="s">
        <v>291</v>
      </c>
      <c r="D238" s="1">
        <v>250</v>
      </c>
      <c r="E238" s="1">
        <v>9069.9</v>
      </c>
      <c r="F238" s="1">
        <v>0</v>
      </c>
      <c r="G238" s="1">
        <v>2267475</v>
      </c>
      <c r="H238" s="1">
        <v>2267475</v>
      </c>
    </row>
    <row r="239" spans="1:9" x14ac:dyDescent="0.3">
      <c r="A239" s="1" t="s">
        <v>412</v>
      </c>
      <c r="B239" s="1" t="s">
        <v>284</v>
      </c>
      <c r="C239" s="2">
        <v>46000</v>
      </c>
      <c r="D239" s="1">
        <v>20</v>
      </c>
      <c r="E239" s="1">
        <v>14527</v>
      </c>
      <c r="F239" s="1">
        <v>0</v>
      </c>
      <c r="G239" s="1">
        <v>290540</v>
      </c>
      <c r="H239" s="1" t="s">
        <v>285</v>
      </c>
      <c r="I239" t="s">
        <v>30</v>
      </c>
    </row>
    <row r="240" spans="1:9" x14ac:dyDescent="0.3">
      <c r="A240" s="1" t="s">
        <v>412</v>
      </c>
      <c r="B240" s="1" t="s">
        <v>284</v>
      </c>
      <c r="C240" s="2">
        <v>46000</v>
      </c>
      <c r="D240" s="1">
        <v>20</v>
      </c>
      <c r="E240" s="1">
        <v>15008.8</v>
      </c>
      <c r="F240" s="1">
        <v>0</v>
      </c>
      <c r="G240" s="1">
        <v>300176</v>
      </c>
      <c r="H240" s="1" t="s">
        <v>285</v>
      </c>
      <c r="I240" t="s">
        <v>30</v>
      </c>
    </row>
    <row r="241" spans="1:9" x14ac:dyDescent="0.3">
      <c r="A241" s="1" t="s">
        <v>403</v>
      </c>
      <c r="B241" s="1" t="s">
        <v>284</v>
      </c>
      <c r="C241" s="2">
        <v>46001</v>
      </c>
      <c r="D241" s="1">
        <v>50</v>
      </c>
      <c r="E241" s="1">
        <v>9039.0499999999993</v>
      </c>
      <c r="F241" s="1">
        <v>0</v>
      </c>
      <c r="G241" s="1">
        <v>451952.5</v>
      </c>
      <c r="H241" s="1" t="s">
        <v>285</v>
      </c>
      <c r="I241" t="s">
        <v>30</v>
      </c>
    </row>
    <row r="242" spans="1:9" x14ac:dyDescent="0.3">
      <c r="A242" s="1" t="s">
        <v>403</v>
      </c>
      <c r="B242" s="1" t="s">
        <v>284</v>
      </c>
      <c r="C242" s="2">
        <v>46001</v>
      </c>
      <c r="D242" s="1">
        <v>50</v>
      </c>
      <c r="E242" s="1">
        <v>10255</v>
      </c>
      <c r="F242" s="1">
        <v>0</v>
      </c>
      <c r="G242" s="1">
        <v>512750</v>
      </c>
      <c r="H242" s="1" t="s">
        <v>285</v>
      </c>
      <c r="I242" t="s">
        <v>30</v>
      </c>
    </row>
    <row r="243" spans="1:9" x14ac:dyDescent="0.3">
      <c r="A243" s="1" t="s">
        <v>404</v>
      </c>
      <c r="B243" s="1" t="s">
        <v>284</v>
      </c>
      <c r="C243" s="2">
        <v>46002</v>
      </c>
      <c r="D243" s="1">
        <v>25</v>
      </c>
      <c r="E243" s="1">
        <v>9039.0499999999993</v>
      </c>
      <c r="F243" s="1">
        <v>0</v>
      </c>
      <c r="G243" s="1">
        <v>225976.25</v>
      </c>
      <c r="H243" s="1" t="s">
        <v>285</v>
      </c>
      <c r="I243" t="s">
        <v>30</v>
      </c>
    </row>
    <row r="244" spans="1:9" x14ac:dyDescent="0.3">
      <c r="A244" s="1" t="s">
        <v>404</v>
      </c>
      <c r="B244" s="1" t="s">
        <v>284</v>
      </c>
      <c r="C244" s="2">
        <v>46002</v>
      </c>
      <c r="D244" s="1">
        <v>50</v>
      </c>
      <c r="E244" s="1">
        <v>9669</v>
      </c>
      <c r="F244" s="1">
        <v>0</v>
      </c>
      <c r="G244" s="1">
        <v>483450</v>
      </c>
      <c r="H244" s="1" t="s">
        <v>285</v>
      </c>
      <c r="I244" t="s">
        <v>30</v>
      </c>
    </row>
    <row r="245" spans="1:9" x14ac:dyDescent="0.3">
      <c r="A245" s="1" t="s">
        <v>404</v>
      </c>
      <c r="B245" s="1" t="s">
        <v>284</v>
      </c>
      <c r="C245" s="2">
        <v>46002</v>
      </c>
      <c r="D245" s="1">
        <v>20</v>
      </c>
      <c r="E245" s="1">
        <v>14576.75</v>
      </c>
      <c r="F245" s="1">
        <v>0</v>
      </c>
      <c r="G245" s="1">
        <v>291535</v>
      </c>
      <c r="H245" s="1" t="s">
        <v>285</v>
      </c>
      <c r="I245" t="s">
        <v>30</v>
      </c>
    </row>
    <row r="246" spans="1:9" x14ac:dyDescent="0.3">
      <c r="A246" s="1" t="s">
        <v>407</v>
      </c>
      <c r="B246" s="1" t="s">
        <v>284</v>
      </c>
      <c r="C246" s="2">
        <v>46006</v>
      </c>
      <c r="D246" s="1">
        <v>125</v>
      </c>
      <c r="E246" s="1">
        <v>9669</v>
      </c>
      <c r="F246" s="1">
        <v>0</v>
      </c>
      <c r="G246" s="1">
        <v>1208625</v>
      </c>
      <c r="H246" s="1" t="s">
        <v>285</v>
      </c>
      <c r="I246" t="s">
        <v>30</v>
      </c>
    </row>
    <row r="247" spans="1:9" x14ac:dyDescent="0.3">
      <c r="A247" s="1" t="s">
        <v>407</v>
      </c>
      <c r="B247" s="1" t="s">
        <v>284</v>
      </c>
      <c r="C247" s="2">
        <v>46006</v>
      </c>
      <c r="D247" s="1">
        <v>20</v>
      </c>
      <c r="E247" s="1">
        <v>15060.2</v>
      </c>
      <c r="F247" s="1">
        <v>0</v>
      </c>
      <c r="G247" s="1">
        <v>301204</v>
      </c>
      <c r="H247" s="1" t="s">
        <v>285</v>
      </c>
      <c r="I247" t="s">
        <v>30</v>
      </c>
    </row>
    <row r="248" spans="1:9" hidden="1" x14ac:dyDescent="0.3">
      <c r="A248" s="1" t="s">
        <v>29</v>
      </c>
      <c r="B248" s="1" t="s">
        <v>303</v>
      </c>
      <c r="D248" s="1">
        <v>550</v>
      </c>
      <c r="E248" s="1">
        <v>9758.2726999999995</v>
      </c>
      <c r="F248" s="1">
        <v>0</v>
      </c>
      <c r="G248" s="1">
        <v>5367050</v>
      </c>
      <c r="H248" s="1">
        <v>5367050</v>
      </c>
    </row>
    <row r="249" spans="1:9" x14ac:dyDescent="0.3">
      <c r="A249" s="1" t="s">
        <v>413</v>
      </c>
      <c r="B249" s="1" t="s">
        <v>284</v>
      </c>
      <c r="C249" s="2">
        <v>46006</v>
      </c>
      <c r="D249" s="1">
        <v>25</v>
      </c>
      <c r="E249" s="1">
        <v>9463.9</v>
      </c>
      <c r="F249" s="1">
        <v>0</v>
      </c>
      <c r="G249" s="1">
        <v>236597.5</v>
      </c>
      <c r="H249" s="1" t="s">
        <v>285</v>
      </c>
      <c r="I249" t="s">
        <v>50</v>
      </c>
    </row>
    <row r="250" spans="1:9" x14ac:dyDescent="0.3">
      <c r="A250" s="1" t="s">
        <v>405</v>
      </c>
      <c r="B250" s="1" t="s">
        <v>284</v>
      </c>
      <c r="C250" s="2">
        <v>46007</v>
      </c>
      <c r="D250" s="1">
        <v>50</v>
      </c>
      <c r="E250" s="1">
        <v>9039.0499999999993</v>
      </c>
      <c r="F250" s="1">
        <v>0</v>
      </c>
      <c r="G250" s="1">
        <v>451952.5</v>
      </c>
      <c r="H250" s="1" t="s">
        <v>285</v>
      </c>
      <c r="I250" t="s">
        <v>50</v>
      </c>
    </row>
    <row r="251" spans="1:9" x14ac:dyDescent="0.3">
      <c r="A251" s="1" t="s">
        <v>405</v>
      </c>
      <c r="B251" s="1" t="s">
        <v>284</v>
      </c>
      <c r="C251" s="2">
        <v>46007</v>
      </c>
      <c r="D251" s="1">
        <v>50</v>
      </c>
      <c r="E251" s="1">
        <v>9669</v>
      </c>
      <c r="F251" s="1">
        <v>0</v>
      </c>
      <c r="G251" s="1">
        <v>483450</v>
      </c>
      <c r="H251" s="1" t="s">
        <v>285</v>
      </c>
      <c r="I251" t="s">
        <v>50</v>
      </c>
    </row>
    <row r="252" spans="1:9" x14ac:dyDescent="0.3">
      <c r="A252" s="1" t="s">
        <v>408</v>
      </c>
      <c r="B252" s="1" t="s">
        <v>284</v>
      </c>
      <c r="C252" s="2">
        <v>46008</v>
      </c>
      <c r="D252" s="1">
        <v>50</v>
      </c>
      <c r="E252" s="1">
        <v>9768</v>
      </c>
      <c r="F252" s="1">
        <v>0</v>
      </c>
      <c r="G252" s="1">
        <v>488400</v>
      </c>
      <c r="H252" s="1" t="s">
        <v>285</v>
      </c>
      <c r="I252" t="s">
        <v>50</v>
      </c>
    </row>
    <row r="253" spans="1:9" hidden="1" x14ac:dyDescent="0.3">
      <c r="A253" s="1" t="s">
        <v>49</v>
      </c>
      <c r="B253" s="1" t="s">
        <v>304</v>
      </c>
      <c r="D253" s="1">
        <v>80</v>
      </c>
      <c r="E253" s="1">
        <v>14601.625</v>
      </c>
      <c r="F253" s="1">
        <v>0</v>
      </c>
      <c r="G253" s="1">
        <v>1168130</v>
      </c>
      <c r="H253" s="1">
        <v>1168130</v>
      </c>
    </row>
    <row r="254" spans="1:9" x14ac:dyDescent="0.3">
      <c r="A254" s="1" t="s">
        <v>408</v>
      </c>
      <c r="B254" s="1" t="s">
        <v>284</v>
      </c>
      <c r="C254" s="2">
        <v>46008</v>
      </c>
      <c r="D254" s="1">
        <v>15</v>
      </c>
      <c r="E254" s="1">
        <v>35520</v>
      </c>
      <c r="F254" s="1">
        <v>0</v>
      </c>
      <c r="G254" s="1">
        <v>532800</v>
      </c>
      <c r="H254" s="1" t="s">
        <v>285</v>
      </c>
      <c r="I254" t="s">
        <v>420</v>
      </c>
    </row>
    <row r="255" spans="1:9" x14ac:dyDescent="0.3">
      <c r="A255" s="1" t="s">
        <v>408</v>
      </c>
      <c r="B255" s="1" t="s">
        <v>284</v>
      </c>
      <c r="C255" s="2">
        <v>46008</v>
      </c>
      <c r="D255" s="1">
        <v>15</v>
      </c>
      <c r="E255" s="1">
        <v>37666</v>
      </c>
      <c r="F255" s="1">
        <v>0</v>
      </c>
      <c r="G255" s="1">
        <v>564990</v>
      </c>
      <c r="H255" s="1" t="s">
        <v>285</v>
      </c>
      <c r="I255" t="s">
        <v>420</v>
      </c>
    </row>
    <row r="256" spans="1:9" x14ac:dyDescent="0.3">
      <c r="A256" s="1" t="s">
        <v>408</v>
      </c>
      <c r="B256" s="1" t="s">
        <v>284</v>
      </c>
      <c r="C256" s="2">
        <v>46008</v>
      </c>
      <c r="D256" s="1">
        <v>15</v>
      </c>
      <c r="E256" s="1">
        <v>38435.599999999999</v>
      </c>
      <c r="F256" s="1">
        <v>0</v>
      </c>
      <c r="G256" s="1">
        <v>576534</v>
      </c>
      <c r="H256" s="1" t="s">
        <v>285</v>
      </c>
      <c r="I256" t="s">
        <v>420</v>
      </c>
    </row>
    <row r="257" spans="1:9" x14ac:dyDescent="0.3">
      <c r="A257" s="1" t="s">
        <v>409</v>
      </c>
      <c r="B257" s="1" t="s">
        <v>284</v>
      </c>
      <c r="C257" s="2">
        <v>46009</v>
      </c>
      <c r="D257" s="1">
        <v>50</v>
      </c>
      <c r="E257" s="1">
        <v>9735</v>
      </c>
      <c r="F257" s="1">
        <v>0</v>
      </c>
      <c r="G257" s="1">
        <v>486750</v>
      </c>
      <c r="H257" s="1" t="s">
        <v>285</v>
      </c>
      <c r="I257" t="s">
        <v>420</v>
      </c>
    </row>
    <row r="258" spans="1:9" x14ac:dyDescent="0.3">
      <c r="A258" s="1" t="s">
        <v>409</v>
      </c>
      <c r="B258" s="1" t="s">
        <v>284</v>
      </c>
      <c r="C258" s="2">
        <v>46009</v>
      </c>
      <c r="D258" s="1">
        <v>20</v>
      </c>
      <c r="E258" s="1">
        <v>14676.25</v>
      </c>
      <c r="F258" s="1">
        <v>0</v>
      </c>
      <c r="G258" s="1">
        <v>293525</v>
      </c>
      <c r="H258" s="1" t="s">
        <v>285</v>
      </c>
      <c r="I258" t="s">
        <v>420</v>
      </c>
    </row>
    <row r="259" spans="1:9" hidden="1" x14ac:dyDescent="0.3">
      <c r="A259" s="1" t="s">
        <v>58</v>
      </c>
      <c r="B259" s="1" t="s">
        <v>305</v>
      </c>
      <c r="D259" s="1">
        <v>100</v>
      </c>
      <c r="E259" s="1">
        <v>15111.6</v>
      </c>
      <c r="F259" s="1">
        <v>0</v>
      </c>
      <c r="G259" s="1">
        <v>1511160</v>
      </c>
      <c r="H259" s="1">
        <v>1511160</v>
      </c>
    </row>
    <row r="260" spans="1:9" x14ac:dyDescent="0.3">
      <c r="A260" s="1" t="s">
        <v>409</v>
      </c>
      <c r="B260" s="1" t="s">
        <v>284</v>
      </c>
      <c r="C260" s="2">
        <v>46009</v>
      </c>
      <c r="D260" s="1">
        <v>20</v>
      </c>
      <c r="E260" s="1">
        <v>15163</v>
      </c>
      <c r="F260" s="1">
        <v>0</v>
      </c>
      <c r="G260" s="1">
        <v>303260</v>
      </c>
      <c r="H260" s="1" t="s">
        <v>285</v>
      </c>
      <c r="I260" t="s">
        <v>62</v>
      </c>
    </row>
    <row r="261" spans="1:9" hidden="1" x14ac:dyDescent="0.3">
      <c r="A261" s="1" t="s">
        <v>61</v>
      </c>
      <c r="B261" s="1" t="s">
        <v>306</v>
      </c>
      <c r="D261" s="1">
        <v>25</v>
      </c>
      <c r="E261" s="1">
        <v>9463.9</v>
      </c>
      <c r="F261" s="1">
        <v>0</v>
      </c>
      <c r="G261" s="1">
        <v>236597.5</v>
      </c>
      <c r="H261" s="1">
        <v>236597.5</v>
      </c>
    </row>
    <row r="262" spans="1:9" x14ac:dyDescent="0.3">
      <c r="A262" s="1" t="s">
        <v>406</v>
      </c>
      <c r="B262" s="1" t="s">
        <v>284</v>
      </c>
      <c r="C262" s="2">
        <v>46013</v>
      </c>
      <c r="D262" s="1">
        <v>50</v>
      </c>
      <c r="E262" s="1">
        <v>9100.75</v>
      </c>
      <c r="F262" s="1">
        <v>0</v>
      </c>
      <c r="G262" s="1">
        <v>455037.5</v>
      </c>
      <c r="H262" s="1" t="s">
        <v>285</v>
      </c>
      <c r="I262" t="s">
        <v>130</v>
      </c>
    </row>
    <row r="263" spans="1:9" hidden="1" x14ac:dyDescent="0.3">
      <c r="A263" s="1" t="s">
        <v>129</v>
      </c>
      <c r="B263" s="1" t="s">
        <v>327</v>
      </c>
      <c r="D263" s="1">
        <v>25</v>
      </c>
      <c r="E263" s="1">
        <v>13200.6</v>
      </c>
      <c r="F263" s="1">
        <v>0</v>
      </c>
      <c r="G263" s="1">
        <v>330015</v>
      </c>
      <c r="H263" s="1">
        <v>330015</v>
      </c>
    </row>
    <row r="264" spans="1:9" x14ac:dyDescent="0.3">
      <c r="A264" s="1" t="s">
        <v>406</v>
      </c>
      <c r="B264" s="1" t="s">
        <v>284</v>
      </c>
      <c r="C264" s="2">
        <v>46013</v>
      </c>
      <c r="D264" s="1">
        <v>50</v>
      </c>
      <c r="E264" s="1">
        <v>9735</v>
      </c>
      <c r="F264" s="1">
        <v>0</v>
      </c>
      <c r="G264" s="1">
        <v>486750</v>
      </c>
      <c r="H264" s="1" t="s">
        <v>285</v>
      </c>
      <c r="I264" t="s">
        <v>236</v>
      </c>
    </row>
    <row r="265" spans="1:9" hidden="1" x14ac:dyDescent="0.3">
      <c r="A265" s="1" t="s">
        <v>235</v>
      </c>
      <c r="B265" s="1" t="s">
        <v>329</v>
      </c>
      <c r="D265" s="1">
        <v>25</v>
      </c>
      <c r="E265" s="1">
        <v>14602.5</v>
      </c>
      <c r="F265" s="1">
        <v>0</v>
      </c>
      <c r="G265" s="1">
        <v>365062.5</v>
      </c>
      <c r="H265" s="1">
        <v>365062.5</v>
      </c>
    </row>
    <row r="266" spans="1:9" x14ac:dyDescent="0.3">
      <c r="A266" s="1" t="s">
        <v>406</v>
      </c>
      <c r="B266" s="1" t="s">
        <v>284</v>
      </c>
      <c r="C266" s="2">
        <v>46013</v>
      </c>
      <c r="D266" s="1">
        <v>20</v>
      </c>
      <c r="E266" s="1">
        <v>15163</v>
      </c>
      <c r="F266" s="1">
        <v>0</v>
      </c>
      <c r="G266" s="1">
        <v>303260</v>
      </c>
      <c r="H266" s="1" t="s">
        <v>285</v>
      </c>
      <c r="I266" t="s">
        <v>172</v>
      </c>
    </row>
    <row r="267" spans="1:9" x14ac:dyDescent="0.3">
      <c r="A267" s="1" t="s">
        <v>406</v>
      </c>
      <c r="B267" s="1" t="s">
        <v>284</v>
      </c>
      <c r="C267" s="2">
        <v>46013</v>
      </c>
      <c r="D267" s="1">
        <v>25</v>
      </c>
      <c r="E267" s="1">
        <v>14027.25</v>
      </c>
      <c r="F267" s="1">
        <v>0</v>
      </c>
      <c r="G267" s="1">
        <v>350681.25</v>
      </c>
      <c r="H267" s="1" t="s">
        <v>285</v>
      </c>
      <c r="I267" t="s">
        <v>172</v>
      </c>
    </row>
    <row r="268" spans="1:9" hidden="1" x14ac:dyDescent="0.3">
      <c r="A268" s="1" t="s">
        <v>171</v>
      </c>
      <c r="B268" s="1" t="s">
        <v>311</v>
      </c>
      <c r="D268" s="1">
        <v>100</v>
      </c>
      <c r="E268" s="1">
        <v>9603.75</v>
      </c>
      <c r="F268" s="1">
        <v>0</v>
      </c>
      <c r="G268" s="1">
        <v>960375</v>
      </c>
      <c r="H268" s="1">
        <v>960375</v>
      </c>
    </row>
    <row r="269" spans="1:9" x14ac:dyDescent="0.3">
      <c r="A269" s="1" t="s">
        <v>410</v>
      </c>
      <c r="B269" s="1" t="s">
        <v>284</v>
      </c>
      <c r="C269" s="2">
        <v>46020</v>
      </c>
      <c r="D269" s="1">
        <v>50</v>
      </c>
      <c r="E269" s="1">
        <v>9735</v>
      </c>
      <c r="F269" s="1">
        <v>0</v>
      </c>
      <c r="G269" s="1">
        <v>486750</v>
      </c>
      <c r="H269" s="1" t="s">
        <v>285</v>
      </c>
      <c r="I269" t="s">
        <v>425</v>
      </c>
    </row>
    <row r="270" spans="1:9" x14ac:dyDescent="0.3">
      <c r="A270" s="1" t="s">
        <v>410</v>
      </c>
      <c r="B270" s="1" t="s">
        <v>284</v>
      </c>
      <c r="C270" s="2">
        <v>46020</v>
      </c>
      <c r="D270" s="1">
        <v>20</v>
      </c>
      <c r="E270" s="1">
        <v>15163</v>
      </c>
      <c r="F270" s="1">
        <v>0</v>
      </c>
      <c r="G270" s="1">
        <v>303260</v>
      </c>
      <c r="H270" s="1" t="s">
        <v>285</v>
      </c>
      <c r="I270" t="s">
        <v>425</v>
      </c>
    </row>
    <row r="271" spans="1:9" hidden="1" x14ac:dyDescent="0.3">
      <c r="A271" s="1" t="s">
        <v>398</v>
      </c>
      <c r="B271" s="1" t="s">
        <v>399</v>
      </c>
      <c r="D271" s="1">
        <v>50</v>
      </c>
      <c r="E271" s="1">
        <v>14027.25</v>
      </c>
      <c r="F271" s="1">
        <v>0</v>
      </c>
      <c r="G271" s="1">
        <v>701362.5</v>
      </c>
      <c r="H271" s="1">
        <v>701362.5</v>
      </c>
    </row>
    <row r="272" spans="1:9" x14ac:dyDescent="0.3">
      <c r="A272" s="1" t="s">
        <v>410</v>
      </c>
      <c r="B272" s="1" t="s">
        <v>284</v>
      </c>
      <c r="C272" s="2">
        <v>46020</v>
      </c>
      <c r="D272" s="1">
        <v>25</v>
      </c>
      <c r="E272" s="1">
        <v>14027.25</v>
      </c>
      <c r="F272" s="1">
        <v>0</v>
      </c>
      <c r="G272" s="1">
        <v>350681.25</v>
      </c>
      <c r="H272" s="1" t="s">
        <v>285</v>
      </c>
      <c r="I272" t="s">
        <v>426</v>
      </c>
    </row>
    <row r="273" spans="1:9" hidden="1" x14ac:dyDescent="0.3">
      <c r="A273" s="1" t="s">
        <v>414</v>
      </c>
      <c r="B273" s="1" t="s">
        <v>415</v>
      </c>
      <c r="D273" s="1">
        <v>15</v>
      </c>
      <c r="E273" s="1">
        <v>35520</v>
      </c>
      <c r="F273" s="1">
        <v>0</v>
      </c>
      <c r="G273" s="1">
        <v>532800</v>
      </c>
      <c r="H273" s="1">
        <v>532800</v>
      </c>
    </row>
    <row r="274" spans="1:9" x14ac:dyDescent="0.3">
      <c r="A274" s="1" t="s">
        <v>411</v>
      </c>
      <c r="B274" s="1" t="s">
        <v>284</v>
      </c>
      <c r="C274" s="2">
        <v>46021</v>
      </c>
      <c r="D274" s="1">
        <v>75</v>
      </c>
      <c r="E274" s="1">
        <v>9735</v>
      </c>
      <c r="F274" s="1">
        <v>0</v>
      </c>
      <c r="G274" s="1">
        <v>730125</v>
      </c>
      <c r="H274" s="1" t="s">
        <v>285</v>
      </c>
      <c r="I274" t="s">
        <v>427</v>
      </c>
    </row>
    <row r="275" spans="1:9" hidden="1" x14ac:dyDescent="0.3">
      <c r="A275" s="1" t="s">
        <v>416</v>
      </c>
      <c r="B275" s="1" t="s">
        <v>417</v>
      </c>
      <c r="D275" s="1">
        <v>15</v>
      </c>
      <c r="E275" s="1">
        <v>37666</v>
      </c>
      <c r="F275" s="1">
        <v>0</v>
      </c>
      <c r="G275" s="1">
        <v>564990</v>
      </c>
      <c r="H275" s="1">
        <v>564990</v>
      </c>
    </row>
    <row r="276" spans="1:9" x14ac:dyDescent="0.3">
      <c r="A276" s="1" t="s">
        <v>411</v>
      </c>
      <c r="B276" s="1" t="s">
        <v>284</v>
      </c>
      <c r="C276" s="2">
        <v>46021</v>
      </c>
      <c r="D276" s="1">
        <v>25</v>
      </c>
      <c r="E276" s="1">
        <v>14602.5</v>
      </c>
      <c r="F276" s="1">
        <v>0</v>
      </c>
      <c r="G276" s="1">
        <v>365062.5</v>
      </c>
      <c r="H276" s="1" t="s">
        <v>285</v>
      </c>
      <c r="I276" t="s">
        <v>428</v>
      </c>
    </row>
    <row r="277" spans="1:9" hidden="1" x14ac:dyDescent="0.3">
      <c r="A277" s="1" t="s">
        <v>418</v>
      </c>
      <c r="B277" s="1" t="s">
        <v>419</v>
      </c>
      <c r="D277" s="1">
        <v>15</v>
      </c>
      <c r="E277" s="1">
        <v>38435.599999999999</v>
      </c>
      <c r="F277" s="1">
        <v>0</v>
      </c>
      <c r="G277" s="1">
        <v>576534</v>
      </c>
      <c r="H277" s="1">
        <v>576534</v>
      </c>
    </row>
  </sheetData>
  <autoFilter ref="A1:H277">
    <filterColumn colId="1">
      <filters>
        <filter val="Emprendimientos"/>
      </filters>
    </filterColumn>
    <sortState ref="A2:H276">
      <sortCondition ref="C1:C277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6"/>
  <sheetViews>
    <sheetView topLeftCell="A178" workbookViewId="0">
      <selection activeCell="A2" sqref="A2:I216"/>
    </sheetView>
  </sheetViews>
  <sheetFormatPr baseColWidth="10" defaultRowHeight="14.4" x14ac:dyDescent="0.3"/>
  <cols>
    <col min="1" max="1" width="17.6640625" customWidth="1"/>
    <col min="4" max="4" width="32.6640625" customWidth="1"/>
    <col min="6" max="6" width="16.109375" customWidth="1"/>
  </cols>
  <sheetData>
    <row r="1" spans="1:9" x14ac:dyDescent="0.3">
      <c r="A1" s="1" t="s">
        <v>0</v>
      </c>
      <c r="B1" s="1" t="s">
        <v>1</v>
      </c>
      <c r="C1" s="1" t="s">
        <v>10</v>
      </c>
      <c r="D1" s="1" t="s">
        <v>17</v>
      </c>
      <c r="E1" s="1" t="s">
        <v>18</v>
      </c>
      <c r="F1" s="1" t="s">
        <v>19</v>
      </c>
      <c r="G1" s="1" t="s">
        <v>6</v>
      </c>
      <c r="H1" s="1" t="s">
        <v>20</v>
      </c>
      <c r="I1" s="1" t="s">
        <v>4</v>
      </c>
    </row>
    <row r="2" spans="1:9" x14ac:dyDescent="0.3">
      <c r="A2" s="1" t="s">
        <v>292</v>
      </c>
      <c r="B2" s="2">
        <v>45839</v>
      </c>
      <c r="D2" t="s">
        <v>47</v>
      </c>
      <c r="E2" s="1">
        <v>50</v>
      </c>
      <c r="F2" s="1">
        <v>8019</v>
      </c>
      <c r="I2" s="1">
        <v>400950</v>
      </c>
    </row>
    <row r="3" spans="1:9" x14ac:dyDescent="0.3">
      <c r="A3" s="1" t="s">
        <v>283</v>
      </c>
      <c r="B3" s="2">
        <v>45840</v>
      </c>
      <c r="D3" t="s">
        <v>47</v>
      </c>
      <c r="E3" s="1">
        <v>50</v>
      </c>
      <c r="F3" s="1">
        <v>7619.95</v>
      </c>
      <c r="I3" s="1">
        <v>380997.5</v>
      </c>
    </row>
    <row r="4" spans="1:9" x14ac:dyDescent="0.3">
      <c r="A4" s="1" t="s">
        <v>293</v>
      </c>
      <c r="B4" s="2">
        <v>45841</v>
      </c>
      <c r="D4" t="s">
        <v>47</v>
      </c>
      <c r="E4" s="1">
        <v>100</v>
      </c>
      <c r="F4" s="1">
        <v>8217</v>
      </c>
      <c r="I4" s="1">
        <v>821700</v>
      </c>
    </row>
    <row r="5" spans="1:9" x14ac:dyDescent="0.3">
      <c r="A5" s="1" t="s">
        <v>293</v>
      </c>
      <c r="B5" s="2">
        <v>45841</v>
      </c>
      <c r="D5" t="s">
        <v>47</v>
      </c>
      <c r="E5" s="1">
        <v>20</v>
      </c>
      <c r="F5" s="1">
        <v>12387.75</v>
      </c>
      <c r="I5" s="1">
        <v>247755</v>
      </c>
    </row>
    <row r="6" spans="1:9" x14ac:dyDescent="0.3">
      <c r="A6" s="1" t="s">
        <v>293</v>
      </c>
      <c r="B6" s="2">
        <v>45841</v>
      </c>
      <c r="D6" t="s">
        <v>47</v>
      </c>
      <c r="E6" s="1">
        <v>20</v>
      </c>
      <c r="F6" s="1">
        <v>12798.6</v>
      </c>
      <c r="I6" s="1">
        <v>255972</v>
      </c>
    </row>
    <row r="7" spans="1:9" x14ac:dyDescent="0.3">
      <c r="A7" s="1" t="s">
        <v>294</v>
      </c>
      <c r="B7" s="2">
        <v>45842</v>
      </c>
      <c r="D7" t="s">
        <v>47</v>
      </c>
      <c r="E7" s="1">
        <v>250</v>
      </c>
      <c r="F7" s="1">
        <v>8217</v>
      </c>
      <c r="I7" s="1">
        <v>2054250</v>
      </c>
    </row>
    <row r="8" spans="1:9" x14ac:dyDescent="0.3">
      <c r="A8" s="1" t="s">
        <v>286</v>
      </c>
      <c r="B8" s="2">
        <v>45845</v>
      </c>
      <c r="D8" t="s">
        <v>30</v>
      </c>
      <c r="E8" s="1">
        <v>50</v>
      </c>
      <c r="F8" s="1">
        <v>7774.2</v>
      </c>
      <c r="I8" s="1">
        <v>388710</v>
      </c>
    </row>
    <row r="9" spans="1:9" x14ac:dyDescent="0.3">
      <c r="A9" s="1" t="s">
        <v>286</v>
      </c>
      <c r="B9" s="2">
        <v>45845</v>
      </c>
      <c r="D9" t="s">
        <v>30</v>
      </c>
      <c r="E9" s="1">
        <v>25</v>
      </c>
      <c r="F9" s="1">
        <v>8139.6</v>
      </c>
      <c r="I9" s="1">
        <v>203490</v>
      </c>
    </row>
    <row r="10" spans="1:9" x14ac:dyDescent="0.3">
      <c r="A10" s="1" t="s">
        <v>295</v>
      </c>
      <c r="B10" s="2">
        <v>45846</v>
      </c>
      <c r="D10" t="s">
        <v>30</v>
      </c>
      <c r="E10" s="1">
        <v>75</v>
      </c>
      <c r="F10" s="1">
        <v>8448</v>
      </c>
      <c r="I10" s="1">
        <v>633600</v>
      </c>
    </row>
    <row r="11" spans="1:9" x14ac:dyDescent="0.3">
      <c r="A11" s="1" t="s">
        <v>296</v>
      </c>
      <c r="B11" s="2">
        <v>45848</v>
      </c>
      <c r="D11" t="s">
        <v>30</v>
      </c>
      <c r="E11" s="1">
        <v>50</v>
      </c>
      <c r="F11" s="1">
        <v>8415</v>
      </c>
      <c r="I11" s="1">
        <v>420750</v>
      </c>
    </row>
    <row r="12" spans="1:9" x14ac:dyDescent="0.3">
      <c r="A12" s="1" t="s">
        <v>296</v>
      </c>
      <c r="B12" s="2">
        <v>45848</v>
      </c>
      <c r="D12" t="s">
        <v>30</v>
      </c>
      <c r="E12" s="1">
        <v>20</v>
      </c>
      <c r="F12" s="1">
        <v>12686.25</v>
      </c>
      <c r="I12" s="1">
        <v>253725</v>
      </c>
    </row>
    <row r="13" spans="1:9" x14ac:dyDescent="0.3">
      <c r="A13" s="1" t="s">
        <v>296</v>
      </c>
      <c r="B13" s="2">
        <v>45848</v>
      </c>
      <c r="D13" t="s">
        <v>30</v>
      </c>
      <c r="E13" s="1">
        <v>25</v>
      </c>
      <c r="F13" s="1">
        <v>10378.5</v>
      </c>
      <c r="I13" s="1">
        <v>259462.5</v>
      </c>
    </row>
    <row r="14" spans="1:9" x14ac:dyDescent="0.3">
      <c r="A14" s="1" t="s">
        <v>287</v>
      </c>
      <c r="B14" s="2">
        <v>45849</v>
      </c>
      <c r="D14" t="s">
        <v>30</v>
      </c>
      <c r="E14" s="1">
        <v>50</v>
      </c>
      <c r="F14" s="1">
        <v>7866.75</v>
      </c>
      <c r="I14" s="1">
        <v>393337.5</v>
      </c>
    </row>
    <row r="15" spans="1:9" x14ac:dyDescent="0.3">
      <c r="A15" s="1" t="s">
        <v>287</v>
      </c>
      <c r="B15" s="2">
        <v>45849</v>
      </c>
      <c r="D15" t="s">
        <v>30</v>
      </c>
      <c r="E15" s="1">
        <v>100</v>
      </c>
      <c r="F15" s="1">
        <v>8382</v>
      </c>
      <c r="I15" s="1">
        <v>838200</v>
      </c>
    </row>
    <row r="16" spans="1:9" x14ac:dyDescent="0.3">
      <c r="A16" s="1" t="s">
        <v>287</v>
      </c>
      <c r="B16" s="2">
        <v>45849</v>
      </c>
      <c r="D16" t="s">
        <v>30</v>
      </c>
      <c r="E16" s="1">
        <v>20</v>
      </c>
      <c r="F16" s="1">
        <v>12686.25</v>
      </c>
      <c r="I16" s="1">
        <v>253725</v>
      </c>
    </row>
    <row r="17" spans="1:9" x14ac:dyDescent="0.3">
      <c r="A17" s="1" t="s">
        <v>287</v>
      </c>
      <c r="B17" s="2">
        <v>45849</v>
      </c>
      <c r="D17" t="s">
        <v>30</v>
      </c>
      <c r="E17" s="1">
        <v>125</v>
      </c>
      <c r="F17" s="1">
        <v>12303.75</v>
      </c>
      <c r="I17" s="1">
        <v>1537968.75</v>
      </c>
    </row>
    <row r="18" spans="1:9" x14ac:dyDescent="0.3">
      <c r="A18" s="1" t="s">
        <v>297</v>
      </c>
      <c r="B18" s="2">
        <v>45852</v>
      </c>
      <c r="D18" t="s">
        <v>30</v>
      </c>
      <c r="E18" s="1">
        <v>75</v>
      </c>
      <c r="F18" s="1">
        <v>8415</v>
      </c>
      <c r="I18" s="1">
        <v>631125</v>
      </c>
    </row>
    <row r="19" spans="1:9" x14ac:dyDescent="0.3">
      <c r="A19" s="1" t="s">
        <v>288</v>
      </c>
      <c r="B19" s="2">
        <v>45853</v>
      </c>
      <c r="D19" t="s">
        <v>30</v>
      </c>
      <c r="E19" s="1">
        <v>25</v>
      </c>
      <c r="F19" s="1">
        <v>7990.15</v>
      </c>
      <c r="I19" s="1">
        <v>199753.75</v>
      </c>
    </row>
    <row r="20" spans="1:9" x14ac:dyDescent="0.3">
      <c r="A20" s="1" t="s">
        <v>288</v>
      </c>
      <c r="B20" s="2">
        <v>45853</v>
      </c>
      <c r="D20" t="s">
        <v>50</v>
      </c>
      <c r="E20" s="1">
        <v>20</v>
      </c>
      <c r="F20" s="1">
        <v>13312.6</v>
      </c>
      <c r="I20" s="1">
        <v>266252</v>
      </c>
    </row>
    <row r="21" spans="1:9" x14ac:dyDescent="0.3">
      <c r="A21" s="1" t="s">
        <v>298</v>
      </c>
      <c r="B21" s="2">
        <v>45854</v>
      </c>
      <c r="D21" t="s">
        <v>50</v>
      </c>
      <c r="E21" s="1">
        <v>75</v>
      </c>
      <c r="F21" s="1">
        <v>8448</v>
      </c>
      <c r="I21" s="1">
        <v>633600</v>
      </c>
    </row>
    <row r="22" spans="1:9" x14ac:dyDescent="0.3">
      <c r="A22" s="1" t="s">
        <v>298</v>
      </c>
      <c r="B22" s="2">
        <v>45854</v>
      </c>
      <c r="D22" t="s">
        <v>50</v>
      </c>
      <c r="E22" s="1">
        <v>20</v>
      </c>
      <c r="F22" s="1">
        <v>13158.4</v>
      </c>
      <c r="I22" s="1">
        <v>263168</v>
      </c>
    </row>
    <row r="23" spans="1:9" x14ac:dyDescent="0.3">
      <c r="A23" s="1" t="s">
        <v>298</v>
      </c>
      <c r="B23" s="2">
        <v>45854</v>
      </c>
      <c r="D23" t="s">
        <v>50</v>
      </c>
      <c r="E23" s="1">
        <v>25</v>
      </c>
      <c r="F23" s="1">
        <v>8268.7999999999993</v>
      </c>
      <c r="I23" s="1">
        <v>206720</v>
      </c>
    </row>
    <row r="24" spans="1:9" x14ac:dyDescent="0.3">
      <c r="A24" s="1" t="s">
        <v>298</v>
      </c>
      <c r="B24" s="2">
        <v>45854</v>
      </c>
      <c r="D24" t="s">
        <v>59</v>
      </c>
      <c r="E24" s="1">
        <v>125</v>
      </c>
      <c r="F24" s="1">
        <v>7897.6</v>
      </c>
      <c r="I24" s="1">
        <v>987200</v>
      </c>
    </row>
    <row r="25" spans="1:9" x14ac:dyDescent="0.3">
      <c r="A25" s="1" t="s">
        <v>289</v>
      </c>
      <c r="B25" s="2">
        <v>45859</v>
      </c>
      <c r="D25" t="s">
        <v>59</v>
      </c>
      <c r="E25" s="1">
        <v>75</v>
      </c>
      <c r="F25" s="1">
        <v>8021</v>
      </c>
      <c r="I25" s="1">
        <v>601575</v>
      </c>
    </row>
    <row r="26" spans="1:9" x14ac:dyDescent="0.3">
      <c r="A26" s="1" t="s">
        <v>299</v>
      </c>
      <c r="B26" s="2">
        <v>45860</v>
      </c>
      <c r="D26" t="s">
        <v>59</v>
      </c>
      <c r="E26" s="1">
        <v>125</v>
      </c>
      <c r="F26" s="1">
        <v>8580</v>
      </c>
      <c r="I26" s="1">
        <v>1072500</v>
      </c>
    </row>
    <row r="27" spans="1:9" x14ac:dyDescent="0.3">
      <c r="A27" s="1" t="s">
        <v>299</v>
      </c>
      <c r="B27" s="2">
        <v>45860</v>
      </c>
      <c r="D27" t="s">
        <v>59</v>
      </c>
      <c r="E27" s="1">
        <v>25</v>
      </c>
      <c r="F27" s="1">
        <v>10660</v>
      </c>
      <c r="I27" s="1">
        <v>266500</v>
      </c>
    </row>
    <row r="28" spans="1:9" x14ac:dyDescent="0.3">
      <c r="A28" s="1" t="s">
        <v>290</v>
      </c>
      <c r="B28" s="2">
        <v>45861</v>
      </c>
      <c r="D28" t="s">
        <v>59</v>
      </c>
      <c r="E28" s="1">
        <v>50</v>
      </c>
      <c r="F28" s="1">
        <v>7866.75</v>
      </c>
      <c r="I28" s="1">
        <v>393337.5</v>
      </c>
    </row>
    <row r="29" spans="1:9" x14ac:dyDescent="0.3">
      <c r="A29" s="1" t="s">
        <v>290</v>
      </c>
      <c r="B29" s="2">
        <v>45861</v>
      </c>
      <c r="D29" t="s">
        <v>59</v>
      </c>
      <c r="E29" s="1">
        <v>40</v>
      </c>
      <c r="F29" s="1">
        <v>13107</v>
      </c>
      <c r="I29" s="1">
        <v>524280</v>
      </c>
    </row>
    <row r="30" spans="1:9" x14ac:dyDescent="0.3">
      <c r="A30" s="1" t="s">
        <v>290</v>
      </c>
      <c r="B30" s="2">
        <v>45861</v>
      </c>
      <c r="D30" t="s">
        <v>62</v>
      </c>
      <c r="E30" s="1">
        <v>75</v>
      </c>
      <c r="F30" s="1">
        <v>10493.25</v>
      </c>
      <c r="I30" s="1">
        <v>786993.75</v>
      </c>
    </row>
    <row r="31" spans="1:9" x14ac:dyDescent="0.3">
      <c r="A31" s="1" t="s">
        <v>300</v>
      </c>
      <c r="B31" s="2">
        <v>45863</v>
      </c>
      <c r="D31" t="s">
        <v>62</v>
      </c>
      <c r="E31" s="1">
        <v>50</v>
      </c>
      <c r="F31" s="1">
        <v>8481</v>
      </c>
      <c r="I31" s="1">
        <v>424050</v>
      </c>
    </row>
    <row r="32" spans="1:9" x14ac:dyDescent="0.3">
      <c r="A32" s="1" t="s">
        <v>300</v>
      </c>
      <c r="B32" s="2">
        <v>45863</v>
      </c>
      <c r="D32" t="s">
        <v>421</v>
      </c>
      <c r="E32" s="1">
        <v>40</v>
      </c>
      <c r="F32" s="1">
        <v>12785.75</v>
      </c>
      <c r="I32" s="1">
        <v>511430</v>
      </c>
    </row>
    <row r="33" spans="1:9" x14ac:dyDescent="0.3">
      <c r="A33" s="1" t="s">
        <v>301</v>
      </c>
      <c r="B33" s="2">
        <v>45868</v>
      </c>
      <c r="D33" t="s">
        <v>84</v>
      </c>
      <c r="E33" s="1">
        <v>100</v>
      </c>
      <c r="F33" s="1">
        <v>8580</v>
      </c>
      <c r="I33" s="1">
        <v>858000</v>
      </c>
    </row>
    <row r="34" spans="1:9" x14ac:dyDescent="0.3">
      <c r="A34" s="1" t="s">
        <v>301</v>
      </c>
      <c r="B34" s="2">
        <v>45868</v>
      </c>
      <c r="D34" t="s">
        <v>423</v>
      </c>
      <c r="E34" s="1">
        <v>20</v>
      </c>
      <c r="F34" s="1">
        <v>13364</v>
      </c>
      <c r="I34" s="1">
        <v>267280</v>
      </c>
    </row>
    <row r="35" spans="1:9" x14ac:dyDescent="0.3">
      <c r="A35" s="1" t="s">
        <v>302</v>
      </c>
      <c r="B35" s="2">
        <v>45869</v>
      </c>
      <c r="D35" t="s">
        <v>172</v>
      </c>
      <c r="E35" s="1">
        <v>75</v>
      </c>
      <c r="F35" s="1">
        <v>8745</v>
      </c>
      <c r="I35" s="1">
        <v>655875</v>
      </c>
    </row>
    <row r="36" spans="1:9" x14ac:dyDescent="0.3">
      <c r="A36" s="1" t="s">
        <v>302</v>
      </c>
      <c r="B36" s="2">
        <v>45869</v>
      </c>
      <c r="D36" t="s">
        <v>424</v>
      </c>
      <c r="E36" s="1">
        <v>20</v>
      </c>
      <c r="F36" s="1">
        <v>13621</v>
      </c>
      <c r="I36" s="1">
        <v>272420</v>
      </c>
    </row>
    <row r="37" spans="1:9" x14ac:dyDescent="0.3">
      <c r="A37" s="4" t="s">
        <v>314</v>
      </c>
      <c r="B37" s="5">
        <v>45870</v>
      </c>
      <c r="D37" t="s">
        <v>47</v>
      </c>
      <c r="E37" s="4">
        <v>25</v>
      </c>
      <c r="F37" s="4">
        <v>8514.6</v>
      </c>
      <c r="I37" s="4">
        <v>212865</v>
      </c>
    </row>
    <row r="38" spans="1:9" x14ac:dyDescent="0.3">
      <c r="A38" s="4" t="s">
        <v>314</v>
      </c>
      <c r="B38" s="5">
        <v>45870</v>
      </c>
      <c r="D38" t="s">
        <v>47</v>
      </c>
      <c r="E38" s="4">
        <v>40</v>
      </c>
      <c r="F38" s="4">
        <v>13731</v>
      </c>
      <c r="I38" s="4">
        <v>549240</v>
      </c>
    </row>
    <row r="39" spans="1:9" x14ac:dyDescent="0.3">
      <c r="A39" s="4" t="s">
        <v>325</v>
      </c>
      <c r="B39" s="5">
        <v>45874</v>
      </c>
      <c r="D39" t="s">
        <v>47</v>
      </c>
      <c r="E39" s="4">
        <v>20</v>
      </c>
      <c r="F39" s="4">
        <v>14083.6</v>
      </c>
      <c r="I39" s="4">
        <v>281672</v>
      </c>
    </row>
    <row r="40" spans="1:9" x14ac:dyDescent="0.3">
      <c r="A40" s="4" t="s">
        <v>325</v>
      </c>
      <c r="B40" s="5">
        <v>45874</v>
      </c>
      <c r="D40" t="s">
        <v>47</v>
      </c>
      <c r="E40" s="4">
        <v>25</v>
      </c>
      <c r="F40" s="4">
        <v>11275.1</v>
      </c>
      <c r="I40" s="4">
        <v>281877.5</v>
      </c>
    </row>
    <row r="41" spans="1:9" x14ac:dyDescent="0.3">
      <c r="A41" s="4" t="s">
        <v>325</v>
      </c>
      <c r="B41" s="5">
        <v>45874</v>
      </c>
      <c r="D41" t="s">
        <v>47</v>
      </c>
      <c r="E41" s="4">
        <v>25</v>
      </c>
      <c r="F41" s="4">
        <v>13563</v>
      </c>
      <c r="I41" s="4">
        <v>339075</v>
      </c>
    </row>
    <row r="42" spans="1:9" x14ac:dyDescent="0.3">
      <c r="A42" s="4" t="s">
        <v>324</v>
      </c>
      <c r="B42" s="5">
        <v>45877</v>
      </c>
      <c r="D42" t="s">
        <v>30</v>
      </c>
      <c r="E42" s="4">
        <v>20</v>
      </c>
      <c r="F42" s="4">
        <v>13333</v>
      </c>
      <c r="I42" s="4">
        <v>266660</v>
      </c>
    </row>
    <row r="43" spans="1:9" x14ac:dyDescent="0.3">
      <c r="A43" s="4" t="s">
        <v>324</v>
      </c>
      <c r="B43" s="5">
        <v>45877</v>
      </c>
      <c r="D43" t="s">
        <v>30</v>
      </c>
      <c r="E43" s="4">
        <v>20</v>
      </c>
      <c r="F43" s="4">
        <v>13775.2</v>
      </c>
      <c r="I43" s="4">
        <v>275504</v>
      </c>
    </row>
    <row r="44" spans="1:9" x14ac:dyDescent="0.3">
      <c r="A44" s="4" t="s">
        <v>324</v>
      </c>
      <c r="B44" s="5">
        <v>45877</v>
      </c>
      <c r="D44" t="s">
        <v>30</v>
      </c>
      <c r="E44" s="4">
        <v>25</v>
      </c>
      <c r="F44" s="4">
        <v>13266</v>
      </c>
      <c r="I44" s="4">
        <v>331650</v>
      </c>
    </row>
    <row r="45" spans="1:9" x14ac:dyDescent="0.3">
      <c r="A45" s="4" t="s">
        <v>328</v>
      </c>
      <c r="B45" s="5">
        <v>45880</v>
      </c>
      <c r="D45" t="s">
        <v>30</v>
      </c>
      <c r="E45" s="4">
        <v>25</v>
      </c>
      <c r="F45" s="4">
        <v>13216.5</v>
      </c>
      <c r="I45" s="4">
        <v>330412.5</v>
      </c>
    </row>
    <row r="46" spans="1:9" x14ac:dyDescent="0.3">
      <c r="A46" s="4" t="s">
        <v>319</v>
      </c>
      <c r="B46" s="5">
        <v>45882</v>
      </c>
      <c r="D46" t="s">
        <v>30</v>
      </c>
      <c r="E46" s="4">
        <v>50</v>
      </c>
      <c r="F46" s="4">
        <v>8778</v>
      </c>
      <c r="I46" s="4">
        <v>438900</v>
      </c>
    </row>
    <row r="47" spans="1:9" x14ac:dyDescent="0.3">
      <c r="A47" s="4" t="s">
        <v>319</v>
      </c>
      <c r="B47" s="5">
        <v>45882</v>
      </c>
      <c r="D47" t="s">
        <v>30</v>
      </c>
      <c r="E47" s="4">
        <v>50</v>
      </c>
      <c r="F47" s="4">
        <v>8645</v>
      </c>
      <c r="I47" s="4">
        <v>432250</v>
      </c>
    </row>
    <row r="48" spans="1:9" x14ac:dyDescent="0.3">
      <c r="A48" s="4" t="s">
        <v>315</v>
      </c>
      <c r="B48" s="5">
        <v>45883</v>
      </c>
      <c r="D48" t="s">
        <v>30</v>
      </c>
      <c r="E48" s="4">
        <v>75</v>
      </c>
      <c r="F48" s="4">
        <v>8206.1</v>
      </c>
      <c r="I48" s="4">
        <v>615457.5</v>
      </c>
    </row>
    <row r="49" spans="1:9" x14ac:dyDescent="0.3">
      <c r="A49" s="4" t="s">
        <v>315</v>
      </c>
      <c r="B49" s="5">
        <v>45883</v>
      </c>
      <c r="D49" t="s">
        <v>50</v>
      </c>
      <c r="E49" s="4">
        <v>75</v>
      </c>
      <c r="F49" s="4">
        <v>8645</v>
      </c>
      <c r="I49" s="4">
        <v>648375</v>
      </c>
    </row>
    <row r="50" spans="1:9" x14ac:dyDescent="0.3">
      <c r="A50" s="4" t="s">
        <v>320</v>
      </c>
      <c r="B50" s="5">
        <v>45884</v>
      </c>
      <c r="D50" t="s">
        <v>50</v>
      </c>
      <c r="E50" s="4">
        <v>75</v>
      </c>
      <c r="F50" s="4">
        <v>8646</v>
      </c>
      <c r="I50" s="4">
        <v>648450</v>
      </c>
    </row>
    <row r="51" spans="1:9" x14ac:dyDescent="0.3">
      <c r="A51" s="4" t="s">
        <v>320</v>
      </c>
      <c r="B51" s="5">
        <v>45884</v>
      </c>
      <c r="D51" t="s">
        <v>50</v>
      </c>
      <c r="E51" s="4">
        <v>20</v>
      </c>
      <c r="F51" s="4">
        <v>13466.8</v>
      </c>
      <c r="I51" s="4">
        <v>269336</v>
      </c>
    </row>
    <row r="52" spans="1:9" x14ac:dyDescent="0.3">
      <c r="A52" s="4" t="s">
        <v>320</v>
      </c>
      <c r="B52" s="5">
        <v>45884</v>
      </c>
      <c r="D52" t="s">
        <v>420</v>
      </c>
      <c r="E52" s="4">
        <v>75</v>
      </c>
      <c r="F52" s="4">
        <v>10480</v>
      </c>
      <c r="I52" s="4">
        <v>786000</v>
      </c>
    </row>
    <row r="53" spans="1:9" x14ac:dyDescent="0.3">
      <c r="A53" s="4" t="s">
        <v>321</v>
      </c>
      <c r="B53" s="5">
        <v>45887</v>
      </c>
      <c r="D53" t="s">
        <v>420</v>
      </c>
      <c r="E53" s="4">
        <v>50</v>
      </c>
      <c r="F53" s="4">
        <v>8646</v>
      </c>
      <c r="I53" s="4">
        <v>432300</v>
      </c>
    </row>
    <row r="54" spans="1:9" x14ac:dyDescent="0.3">
      <c r="A54" s="4" t="s">
        <v>321</v>
      </c>
      <c r="B54" s="5">
        <v>45887</v>
      </c>
      <c r="D54" t="s">
        <v>420</v>
      </c>
      <c r="E54" s="4">
        <v>20</v>
      </c>
      <c r="F54" s="4">
        <v>13466.8</v>
      </c>
      <c r="I54" s="4">
        <v>269336</v>
      </c>
    </row>
    <row r="55" spans="1:9" x14ac:dyDescent="0.3">
      <c r="A55" s="4" t="s">
        <v>331</v>
      </c>
      <c r="B55" s="5">
        <v>45887</v>
      </c>
      <c r="D55" t="s">
        <v>420</v>
      </c>
      <c r="E55" s="4">
        <v>25</v>
      </c>
      <c r="F55" s="4">
        <v>13296.5</v>
      </c>
      <c r="I55" s="4">
        <v>332412.5</v>
      </c>
    </row>
    <row r="56" spans="1:9" x14ac:dyDescent="0.3">
      <c r="A56" s="4" t="s">
        <v>316</v>
      </c>
      <c r="B56" s="5">
        <v>45888</v>
      </c>
      <c r="D56" t="s">
        <v>420</v>
      </c>
      <c r="E56" s="4">
        <v>75</v>
      </c>
      <c r="F56" s="4">
        <v>8113.55</v>
      </c>
      <c r="I56" s="4">
        <v>608516.25</v>
      </c>
    </row>
    <row r="57" spans="1:9" x14ac:dyDescent="0.3">
      <c r="A57" s="4" t="s">
        <v>317</v>
      </c>
      <c r="B57" s="5">
        <v>45889</v>
      </c>
      <c r="D57" t="s">
        <v>420</v>
      </c>
      <c r="E57" s="4">
        <v>50</v>
      </c>
      <c r="F57" s="4">
        <v>8113.55</v>
      </c>
      <c r="I57" s="4">
        <v>405677.5</v>
      </c>
    </row>
    <row r="58" spans="1:9" x14ac:dyDescent="0.3">
      <c r="A58" s="4" t="s">
        <v>317</v>
      </c>
      <c r="B58" s="5">
        <v>45889</v>
      </c>
      <c r="D58" t="s">
        <v>420</v>
      </c>
      <c r="E58" s="4">
        <v>75</v>
      </c>
      <c r="F58" s="4">
        <v>8679</v>
      </c>
      <c r="I58" s="4">
        <v>650925</v>
      </c>
    </row>
    <row r="59" spans="1:9" x14ac:dyDescent="0.3">
      <c r="A59" s="4" t="s">
        <v>317</v>
      </c>
      <c r="B59" s="5">
        <v>45889</v>
      </c>
      <c r="D59" t="s">
        <v>130</v>
      </c>
      <c r="E59" s="4">
        <v>20</v>
      </c>
      <c r="F59" s="4">
        <v>13518.2</v>
      </c>
      <c r="I59" s="4">
        <v>270364</v>
      </c>
    </row>
    <row r="60" spans="1:9" x14ac:dyDescent="0.3">
      <c r="A60" s="4" t="s">
        <v>322</v>
      </c>
      <c r="B60" s="5">
        <v>45891</v>
      </c>
      <c r="D60" t="s">
        <v>421</v>
      </c>
      <c r="E60" s="4">
        <v>75</v>
      </c>
      <c r="F60" s="4">
        <v>8745</v>
      </c>
      <c r="I60" s="4">
        <v>655875</v>
      </c>
    </row>
    <row r="61" spans="1:9" x14ac:dyDescent="0.3">
      <c r="A61" s="4" t="s">
        <v>322</v>
      </c>
      <c r="B61" s="5">
        <v>45891</v>
      </c>
      <c r="D61" t="s">
        <v>421</v>
      </c>
      <c r="E61" s="4">
        <v>20</v>
      </c>
      <c r="F61" s="4">
        <v>13183.75</v>
      </c>
      <c r="I61" s="4">
        <v>263675</v>
      </c>
    </row>
    <row r="62" spans="1:9" x14ac:dyDescent="0.3">
      <c r="A62" s="4" t="s">
        <v>322</v>
      </c>
      <c r="B62" s="5">
        <v>45891</v>
      </c>
      <c r="D62" t="s">
        <v>236</v>
      </c>
      <c r="E62" s="4">
        <v>25</v>
      </c>
      <c r="F62" s="4">
        <v>10904.75</v>
      </c>
      <c r="I62" s="4">
        <v>272618.75</v>
      </c>
    </row>
    <row r="63" spans="1:9" x14ac:dyDescent="0.3">
      <c r="A63" s="4" t="s">
        <v>323</v>
      </c>
      <c r="B63" s="5">
        <v>45895</v>
      </c>
      <c r="D63" t="s">
        <v>236</v>
      </c>
      <c r="E63" s="4">
        <v>75</v>
      </c>
      <c r="F63" s="4">
        <v>9042</v>
      </c>
      <c r="I63" s="4">
        <v>678150</v>
      </c>
    </row>
    <row r="64" spans="1:9" x14ac:dyDescent="0.3">
      <c r="A64" s="4" t="s">
        <v>323</v>
      </c>
      <c r="B64" s="5">
        <v>45895</v>
      </c>
      <c r="D64" t="s">
        <v>236</v>
      </c>
      <c r="E64" s="4">
        <v>20</v>
      </c>
      <c r="F64" s="4">
        <v>14083.6</v>
      </c>
      <c r="I64" s="4">
        <v>281672</v>
      </c>
    </row>
    <row r="65" spans="1:9" x14ac:dyDescent="0.3">
      <c r="A65" s="4" t="s">
        <v>323</v>
      </c>
      <c r="B65" s="5">
        <v>45895</v>
      </c>
      <c r="D65" t="s">
        <v>32</v>
      </c>
      <c r="E65" s="4">
        <v>75</v>
      </c>
      <c r="F65" s="4">
        <v>8905</v>
      </c>
      <c r="I65" s="4">
        <v>667875</v>
      </c>
    </row>
    <row r="66" spans="1:9" x14ac:dyDescent="0.3">
      <c r="A66" s="4" t="s">
        <v>318</v>
      </c>
      <c r="B66" s="5">
        <v>45898</v>
      </c>
      <c r="D66" t="s">
        <v>260</v>
      </c>
      <c r="E66" s="4">
        <v>50</v>
      </c>
      <c r="F66" s="4">
        <v>8298.65</v>
      </c>
      <c r="I66" s="4">
        <v>414932.5</v>
      </c>
    </row>
    <row r="67" spans="1:9" x14ac:dyDescent="0.3">
      <c r="A67" s="4" t="s">
        <v>318</v>
      </c>
      <c r="B67" s="5">
        <v>45898</v>
      </c>
      <c r="D67" t="s">
        <v>172</v>
      </c>
      <c r="E67" s="4">
        <v>20</v>
      </c>
      <c r="F67" s="4">
        <v>13826.6</v>
      </c>
      <c r="I67" s="4">
        <v>276532</v>
      </c>
    </row>
    <row r="68" spans="1:9" x14ac:dyDescent="0.3">
      <c r="A68" s="4" t="s">
        <v>326</v>
      </c>
      <c r="B68" s="5">
        <v>45898</v>
      </c>
      <c r="D68" t="s">
        <v>172</v>
      </c>
      <c r="E68" s="4">
        <v>25</v>
      </c>
      <c r="F68" s="4">
        <v>12212.8</v>
      </c>
      <c r="I68" s="4">
        <v>305320</v>
      </c>
    </row>
    <row r="69" spans="1:9" x14ac:dyDescent="0.3">
      <c r="A69" s="4" t="s">
        <v>333</v>
      </c>
      <c r="B69" s="5">
        <v>45901</v>
      </c>
      <c r="D69" t="s">
        <v>47</v>
      </c>
      <c r="E69" s="4">
        <v>25</v>
      </c>
      <c r="F69" s="4">
        <v>8391.2000000000007</v>
      </c>
      <c r="I69" s="4">
        <v>209780</v>
      </c>
    </row>
    <row r="70" spans="1:9" x14ac:dyDescent="0.3">
      <c r="A70" s="4" t="s">
        <v>333</v>
      </c>
      <c r="B70" s="5">
        <v>45901</v>
      </c>
      <c r="D70" t="s">
        <v>47</v>
      </c>
      <c r="E70" s="4">
        <v>20</v>
      </c>
      <c r="F70" s="4">
        <v>13532</v>
      </c>
      <c r="I70" s="4">
        <v>270640</v>
      </c>
    </row>
    <row r="71" spans="1:9" x14ac:dyDescent="0.3">
      <c r="A71" s="4" t="s">
        <v>333</v>
      </c>
      <c r="B71" s="5">
        <v>45901</v>
      </c>
      <c r="D71" t="s">
        <v>47</v>
      </c>
      <c r="E71" s="4">
        <v>75</v>
      </c>
      <c r="F71" s="4">
        <v>10880</v>
      </c>
      <c r="I71" s="4">
        <v>816000</v>
      </c>
    </row>
    <row r="72" spans="1:9" x14ac:dyDescent="0.3">
      <c r="A72" s="4" t="s">
        <v>341</v>
      </c>
      <c r="B72" s="5">
        <v>45902</v>
      </c>
      <c r="D72" t="s">
        <v>47</v>
      </c>
      <c r="E72" s="4">
        <v>125</v>
      </c>
      <c r="F72" s="4">
        <v>9141</v>
      </c>
      <c r="I72" s="4">
        <v>1142625</v>
      </c>
    </row>
    <row r="73" spans="1:9" x14ac:dyDescent="0.3">
      <c r="A73" s="4" t="s">
        <v>334</v>
      </c>
      <c r="B73" s="5">
        <v>45903</v>
      </c>
      <c r="D73" t="s">
        <v>47</v>
      </c>
      <c r="E73" s="4">
        <v>50</v>
      </c>
      <c r="F73" s="4">
        <v>8483.75</v>
      </c>
      <c r="I73" s="4">
        <v>424187.5</v>
      </c>
    </row>
    <row r="74" spans="1:9" x14ac:dyDescent="0.3">
      <c r="A74" s="4" t="s">
        <v>342</v>
      </c>
      <c r="B74" s="5">
        <v>45905</v>
      </c>
      <c r="D74" t="s">
        <v>47</v>
      </c>
      <c r="E74" s="4">
        <v>100</v>
      </c>
      <c r="F74" s="4">
        <v>10312.5</v>
      </c>
      <c r="I74" s="4">
        <v>1031250</v>
      </c>
    </row>
    <row r="75" spans="1:9" x14ac:dyDescent="0.3">
      <c r="A75" s="4" t="s">
        <v>342</v>
      </c>
      <c r="B75" s="5">
        <v>45905</v>
      </c>
      <c r="D75" t="s">
        <v>47</v>
      </c>
      <c r="E75" s="4">
        <v>20</v>
      </c>
      <c r="F75" s="4">
        <v>13681.25</v>
      </c>
      <c r="I75" s="4">
        <v>273625</v>
      </c>
    </row>
    <row r="76" spans="1:9" x14ac:dyDescent="0.3">
      <c r="A76" s="4" t="s">
        <v>349</v>
      </c>
      <c r="B76" s="5">
        <v>45908</v>
      </c>
      <c r="D76" t="s">
        <v>47</v>
      </c>
      <c r="E76" s="4">
        <v>20</v>
      </c>
      <c r="F76" s="4">
        <v>14186.4</v>
      </c>
      <c r="I76" s="4">
        <v>283728</v>
      </c>
    </row>
    <row r="77" spans="1:9" x14ac:dyDescent="0.3">
      <c r="A77" s="4" t="s">
        <v>349</v>
      </c>
      <c r="B77" s="5">
        <v>45908</v>
      </c>
      <c r="D77" t="s">
        <v>30</v>
      </c>
      <c r="E77" s="4">
        <v>25</v>
      </c>
      <c r="F77" s="4">
        <v>8914.7999999999993</v>
      </c>
      <c r="I77" s="4">
        <v>222870</v>
      </c>
    </row>
    <row r="78" spans="1:9" x14ac:dyDescent="0.3">
      <c r="A78" s="4" t="s">
        <v>346</v>
      </c>
      <c r="B78" s="5">
        <v>45912</v>
      </c>
      <c r="D78" t="s">
        <v>30</v>
      </c>
      <c r="E78" s="4">
        <v>20</v>
      </c>
      <c r="F78" s="4">
        <v>14377.75</v>
      </c>
      <c r="I78" s="4">
        <v>287555</v>
      </c>
    </row>
    <row r="79" spans="1:9" x14ac:dyDescent="0.3">
      <c r="A79" s="4" t="s">
        <v>350</v>
      </c>
      <c r="B79" s="5">
        <v>45912</v>
      </c>
      <c r="D79" t="s">
        <v>30</v>
      </c>
      <c r="E79" s="4">
        <v>20</v>
      </c>
      <c r="F79" s="4">
        <v>15060.2</v>
      </c>
      <c r="I79" s="4">
        <v>301204</v>
      </c>
    </row>
    <row r="80" spans="1:9" x14ac:dyDescent="0.3">
      <c r="A80" s="4" t="s">
        <v>346</v>
      </c>
      <c r="B80" s="5">
        <v>45912</v>
      </c>
      <c r="D80" t="s">
        <v>30</v>
      </c>
      <c r="E80" s="4">
        <v>75</v>
      </c>
      <c r="F80" s="4">
        <v>9392.5</v>
      </c>
      <c r="I80" s="4">
        <v>704437.5</v>
      </c>
    </row>
    <row r="81" spans="1:9" x14ac:dyDescent="0.3">
      <c r="A81" s="4" t="s">
        <v>335</v>
      </c>
      <c r="B81" s="5">
        <v>45915</v>
      </c>
      <c r="D81" t="s">
        <v>30</v>
      </c>
      <c r="E81" s="4">
        <v>50</v>
      </c>
      <c r="F81" s="4">
        <v>9039.0499999999993</v>
      </c>
      <c r="I81" s="4">
        <v>451952.5</v>
      </c>
    </row>
    <row r="82" spans="1:9" x14ac:dyDescent="0.3">
      <c r="A82" s="4" t="s">
        <v>335</v>
      </c>
      <c r="B82" s="5">
        <v>45915</v>
      </c>
      <c r="D82" t="s">
        <v>30</v>
      </c>
      <c r="E82" s="4">
        <v>125</v>
      </c>
      <c r="F82" s="4">
        <v>9669</v>
      </c>
      <c r="I82" s="4">
        <v>1208625</v>
      </c>
    </row>
    <row r="83" spans="1:9" x14ac:dyDescent="0.3">
      <c r="A83" s="4" t="s">
        <v>343</v>
      </c>
      <c r="B83" s="5">
        <v>45915</v>
      </c>
      <c r="D83" t="s">
        <v>30</v>
      </c>
      <c r="E83" s="4">
        <v>50</v>
      </c>
      <c r="F83" s="4">
        <v>9669</v>
      </c>
      <c r="I83" s="4">
        <v>483450</v>
      </c>
    </row>
    <row r="84" spans="1:9" x14ac:dyDescent="0.3">
      <c r="A84" s="4" t="s">
        <v>335</v>
      </c>
      <c r="B84" s="5">
        <v>45915</v>
      </c>
      <c r="D84" t="s">
        <v>50</v>
      </c>
      <c r="E84" s="4">
        <v>20</v>
      </c>
      <c r="F84" s="4">
        <v>15060.2</v>
      </c>
      <c r="I84" s="4">
        <v>301204</v>
      </c>
    </row>
    <row r="85" spans="1:9" x14ac:dyDescent="0.3">
      <c r="A85" s="4" t="s">
        <v>344</v>
      </c>
      <c r="B85" s="5">
        <v>45916</v>
      </c>
      <c r="D85" t="s">
        <v>50</v>
      </c>
      <c r="E85" s="4">
        <v>75</v>
      </c>
      <c r="F85" s="4">
        <v>9735</v>
      </c>
      <c r="I85" s="4">
        <v>730125</v>
      </c>
    </row>
    <row r="86" spans="1:9" x14ac:dyDescent="0.3">
      <c r="A86" s="4" t="s">
        <v>344</v>
      </c>
      <c r="B86" s="5">
        <v>45916</v>
      </c>
      <c r="D86" t="s">
        <v>50</v>
      </c>
      <c r="E86" s="4">
        <v>20</v>
      </c>
      <c r="F86" s="4">
        <v>15163</v>
      </c>
      <c r="I86" s="4">
        <v>303260</v>
      </c>
    </row>
    <row r="87" spans="1:9" x14ac:dyDescent="0.3">
      <c r="A87" s="4" t="s">
        <v>353</v>
      </c>
      <c r="B87" s="5">
        <v>45917</v>
      </c>
      <c r="D87" t="s">
        <v>50</v>
      </c>
      <c r="E87" s="4">
        <v>75</v>
      </c>
      <c r="F87" s="4">
        <v>9620</v>
      </c>
      <c r="I87" s="4">
        <v>721500</v>
      </c>
    </row>
    <row r="88" spans="1:9" x14ac:dyDescent="0.3">
      <c r="A88" s="4" t="s">
        <v>336</v>
      </c>
      <c r="B88" s="5">
        <v>45918</v>
      </c>
      <c r="D88" t="s">
        <v>50</v>
      </c>
      <c r="E88" s="4">
        <v>50</v>
      </c>
      <c r="F88" s="4">
        <v>9162.4500000000007</v>
      </c>
      <c r="I88" s="4">
        <v>458122.5</v>
      </c>
    </row>
    <row r="89" spans="1:9" x14ac:dyDescent="0.3">
      <c r="A89" s="4" t="s">
        <v>347</v>
      </c>
      <c r="B89" s="5">
        <v>45919</v>
      </c>
      <c r="D89" t="s">
        <v>420</v>
      </c>
      <c r="E89" s="4">
        <v>40</v>
      </c>
      <c r="F89" s="4">
        <v>14875.25</v>
      </c>
      <c r="I89" s="4">
        <v>595010</v>
      </c>
    </row>
    <row r="90" spans="1:9" x14ac:dyDescent="0.3">
      <c r="A90" s="4" t="s">
        <v>347</v>
      </c>
      <c r="B90" s="5">
        <v>45919</v>
      </c>
      <c r="D90" t="s">
        <v>420</v>
      </c>
      <c r="E90" s="4">
        <v>20</v>
      </c>
      <c r="F90" s="4">
        <v>15368.6</v>
      </c>
      <c r="I90" s="4">
        <v>307372</v>
      </c>
    </row>
    <row r="91" spans="1:9" x14ac:dyDescent="0.3">
      <c r="A91" s="4" t="s">
        <v>337</v>
      </c>
      <c r="B91" s="5">
        <v>45922</v>
      </c>
      <c r="D91" t="s">
        <v>420</v>
      </c>
      <c r="E91" s="4">
        <v>50</v>
      </c>
      <c r="F91" s="4">
        <v>9347.5499999999993</v>
      </c>
      <c r="I91" s="4">
        <v>467377.5</v>
      </c>
    </row>
    <row r="92" spans="1:9" x14ac:dyDescent="0.3">
      <c r="A92" s="4" t="s">
        <v>337</v>
      </c>
      <c r="B92" s="5">
        <v>45922</v>
      </c>
      <c r="D92" t="s">
        <v>420</v>
      </c>
      <c r="E92" s="4">
        <v>125</v>
      </c>
      <c r="F92" s="4">
        <v>9999</v>
      </c>
      <c r="I92" s="4">
        <v>1249875</v>
      </c>
    </row>
    <row r="93" spans="1:9" x14ac:dyDescent="0.3">
      <c r="A93" s="4" t="s">
        <v>337</v>
      </c>
      <c r="B93" s="5">
        <v>45922</v>
      </c>
      <c r="D93" t="s">
        <v>420</v>
      </c>
      <c r="E93" s="4">
        <v>20</v>
      </c>
      <c r="F93" s="4">
        <v>15574.2</v>
      </c>
      <c r="I93" s="4">
        <v>311484</v>
      </c>
    </row>
    <row r="94" spans="1:9" x14ac:dyDescent="0.3">
      <c r="A94" s="4" t="s">
        <v>337</v>
      </c>
      <c r="B94" s="5">
        <v>45922</v>
      </c>
      <c r="D94" t="s">
        <v>420</v>
      </c>
      <c r="E94" s="4">
        <v>25</v>
      </c>
      <c r="F94" s="4">
        <v>9786.9</v>
      </c>
      <c r="I94" s="4">
        <v>244672.5</v>
      </c>
    </row>
    <row r="95" spans="1:9" x14ac:dyDescent="0.3">
      <c r="A95" s="4" t="s">
        <v>345</v>
      </c>
      <c r="B95" s="5">
        <v>45923</v>
      </c>
      <c r="D95" t="s">
        <v>420</v>
      </c>
      <c r="E95" s="4">
        <v>100</v>
      </c>
      <c r="F95" s="4">
        <v>9438</v>
      </c>
      <c r="I95" s="4">
        <v>943800</v>
      </c>
    </row>
    <row r="96" spans="1:9" x14ac:dyDescent="0.3">
      <c r="A96" s="4" t="s">
        <v>351</v>
      </c>
      <c r="B96" s="5">
        <v>45923</v>
      </c>
      <c r="D96" t="s">
        <v>420</v>
      </c>
      <c r="E96" s="4">
        <v>40</v>
      </c>
      <c r="F96" s="4">
        <v>14700.4</v>
      </c>
      <c r="I96" s="4">
        <v>588016</v>
      </c>
    </row>
    <row r="97" spans="1:9" x14ac:dyDescent="0.3">
      <c r="A97" s="4" t="s">
        <v>351</v>
      </c>
      <c r="B97" s="5">
        <v>45923</v>
      </c>
      <c r="D97" t="s">
        <v>62</v>
      </c>
      <c r="E97" s="4">
        <v>1</v>
      </c>
      <c r="F97" s="4">
        <v>125840</v>
      </c>
      <c r="I97" s="4">
        <v>125840</v>
      </c>
    </row>
    <row r="98" spans="1:9" x14ac:dyDescent="0.3">
      <c r="A98" s="4" t="s">
        <v>354</v>
      </c>
      <c r="B98" s="5">
        <v>45924</v>
      </c>
      <c r="D98" t="s">
        <v>62</v>
      </c>
      <c r="E98" s="4">
        <v>75</v>
      </c>
      <c r="F98" s="4">
        <v>9002.5</v>
      </c>
      <c r="I98" s="4">
        <v>675187.5</v>
      </c>
    </row>
    <row r="99" spans="1:9" x14ac:dyDescent="0.3">
      <c r="A99" s="4" t="s">
        <v>338</v>
      </c>
      <c r="B99" s="5">
        <v>45925</v>
      </c>
      <c r="D99" t="s">
        <v>111</v>
      </c>
      <c r="E99" s="4">
        <v>25</v>
      </c>
      <c r="F99" s="4">
        <v>8391.2000000000007</v>
      </c>
      <c r="I99" s="4">
        <v>209780</v>
      </c>
    </row>
    <row r="100" spans="1:9" x14ac:dyDescent="0.3">
      <c r="A100" s="4" t="s">
        <v>338</v>
      </c>
      <c r="B100" s="5">
        <v>45925</v>
      </c>
      <c r="D100" t="s">
        <v>32</v>
      </c>
      <c r="E100" s="4">
        <v>25</v>
      </c>
      <c r="F100" s="4">
        <v>8840</v>
      </c>
      <c r="I100" s="4">
        <v>221000</v>
      </c>
    </row>
    <row r="101" spans="1:9" x14ac:dyDescent="0.3">
      <c r="A101" s="4" t="s">
        <v>348</v>
      </c>
      <c r="B101" s="5">
        <v>45926</v>
      </c>
      <c r="D101" t="s">
        <v>172</v>
      </c>
      <c r="E101" s="4">
        <v>40</v>
      </c>
      <c r="F101" s="4">
        <v>13482.25</v>
      </c>
      <c r="I101" s="4">
        <v>539290</v>
      </c>
    </row>
    <row r="102" spans="1:9" x14ac:dyDescent="0.3">
      <c r="A102" s="4" t="s">
        <v>339</v>
      </c>
      <c r="B102" s="5">
        <v>45929</v>
      </c>
      <c r="D102" t="s">
        <v>172</v>
      </c>
      <c r="E102" s="4">
        <v>25</v>
      </c>
      <c r="F102" s="4">
        <v>8329.5</v>
      </c>
      <c r="I102" s="4">
        <v>208237.5</v>
      </c>
    </row>
    <row r="103" spans="1:9" x14ac:dyDescent="0.3">
      <c r="A103" s="4" t="s">
        <v>339</v>
      </c>
      <c r="B103" s="5">
        <v>45929</v>
      </c>
      <c r="D103" t="s">
        <v>172</v>
      </c>
      <c r="E103" s="4">
        <v>20</v>
      </c>
      <c r="F103" s="4">
        <v>13878</v>
      </c>
      <c r="I103" s="4">
        <v>277560</v>
      </c>
    </row>
    <row r="104" spans="1:9" x14ac:dyDescent="0.3">
      <c r="A104" s="4" t="s">
        <v>340</v>
      </c>
      <c r="B104" s="5">
        <v>45930</v>
      </c>
      <c r="D104" t="s">
        <v>172</v>
      </c>
      <c r="E104" s="4">
        <v>75</v>
      </c>
      <c r="F104" s="4">
        <v>8514.6</v>
      </c>
      <c r="I104" s="4">
        <v>638595</v>
      </c>
    </row>
    <row r="105" spans="1:9" x14ac:dyDescent="0.3">
      <c r="A105" s="4" t="s">
        <v>363</v>
      </c>
      <c r="B105" s="5">
        <v>45931</v>
      </c>
      <c r="D105" t="s">
        <v>47</v>
      </c>
      <c r="E105" s="4">
        <v>100</v>
      </c>
      <c r="F105" s="4">
        <v>9240</v>
      </c>
      <c r="I105" s="4">
        <v>924000</v>
      </c>
    </row>
    <row r="106" spans="1:9" x14ac:dyDescent="0.3">
      <c r="A106" s="4" t="s">
        <v>363</v>
      </c>
      <c r="B106" s="5">
        <v>45931</v>
      </c>
      <c r="D106" t="s">
        <v>47</v>
      </c>
      <c r="E106" s="4">
        <v>20</v>
      </c>
      <c r="F106" s="4">
        <v>14392</v>
      </c>
      <c r="I106" s="4">
        <v>287840</v>
      </c>
    </row>
    <row r="107" spans="1:9" x14ac:dyDescent="0.3">
      <c r="A107" s="4" t="s">
        <v>355</v>
      </c>
      <c r="B107" s="5">
        <v>45932</v>
      </c>
      <c r="D107" t="s">
        <v>47</v>
      </c>
      <c r="E107" s="4">
        <v>50</v>
      </c>
      <c r="F107" s="4">
        <v>8946.5</v>
      </c>
      <c r="I107" s="4">
        <v>447325</v>
      </c>
    </row>
    <row r="108" spans="1:9" x14ac:dyDescent="0.3">
      <c r="A108" s="4" t="s">
        <v>364</v>
      </c>
      <c r="B108" s="5">
        <v>45933</v>
      </c>
      <c r="D108" t="s">
        <v>47</v>
      </c>
      <c r="E108" s="4">
        <v>75</v>
      </c>
      <c r="F108" s="4">
        <v>9570</v>
      </c>
      <c r="I108" s="4">
        <v>717750</v>
      </c>
    </row>
    <row r="109" spans="1:9" x14ac:dyDescent="0.3">
      <c r="A109" s="4" t="s">
        <v>364</v>
      </c>
      <c r="B109" s="5">
        <v>45933</v>
      </c>
      <c r="D109" t="s">
        <v>47</v>
      </c>
      <c r="E109" s="4">
        <v>20</v>
      </c>
      <c r="F109" s="4">
        <v>14427.5</v>
      </c>
      <c r="I109" s="4">
        <v>288550</v>
      </c>
    </row>
    <row r="110" spans="1:9" x14ac:dyDescent="0.3">
      <c r="A110" s="4" t="s">
        <v>364</v>
      </c>
      <c r="B110" s="5">
        <v>45933</v>
      </c>
      <c r="D110" t="s">
        <v>47</v>
      </c>
      <c r="E110" s="4">
        <v>25</v>
      </c>
      <c r="F110" s="4">
        <v>9425</v>
      </c>
      <c r="I110" s="4">
        <v>235625</v>
      </c>
    </row>
    <row r="111" spans="1:9" x14ac:dyDescent="0.3">
      <c r="A111" s="4" t="s">
        <v>356</v>
      </c>
      <c r="B111" s="5">
        <v>45936</v>
      </c>
      <c r="D111" t="s">
        <v>47</v>
      </c>
      <c r="E111" s="4">
        <v>50</v>
      </c>
      <c r="F111" s="4">
        <v>8946.5</v>
      </c>
      <c r="I111" s="4">
        <v>447325</v>
      </c>
    </row>
    <row r="112" spans="1:9" x14ac:dyDescent="0.3">
      <c r="A112" s="4" t="s">
        <v>356</v>
      </c>
      <c r="B112" s="5">
        <v>45936</v>
      </c>
      <c r="D112" t="s">
        <v>47</v>
      </c>
      <c r="E112" s="4">
        <v>20</v>
      </c>
      <c r="F112" s="4">
        <v>14906</v>
      </c>
      <c r="I112" s="4">
        <v>298120</v>
      </c>
    </row>
    <row r="113" spans="1:9" x14ac:dyDescent="0.3">
      <c r="A113" s="4" t="s">
        <v>365</v>
      </c>
      <c r="B113" s="5">
        <v>45938</v>
      </c>
      <c r="D113" t="s">
        <v>30</v>
      </c>
      <c r="E113" s="4">
        <v>125</v>
      </c>
      <c r="F113" s="4">
        <v>9457.5</v>
      </c>
      <c r="I113" s="4">
        <v>1182187.5</v>
      </c>
    </row>
    <row r="114" spans="1:9" x14ac:dyDescent="0.3">
      <c r="A114" s="4" t="s">
        <v>365</v>
      </c>
      <c r="B114" s="5">
        <v>45938</v>
      </c>
      <c r="D114" t="s">
        <v>30</v>
      </c>
      <c r="E114" s="4">
        <v>25</v>
      </c>
      <c r="F114" s="4">
        <v>13065.9</v>
      </c>
      <c r="I114" s="4">
        <v>326647.5</v>
      </c>
    </row>
    <row r="115" spans="1:9" x14ac:dyDescent="0.3">
      <c r="A115" s="4" t="s">
        <v>372</v>
      </c>
      <c r="B115" s="5">
        <v>45939</v>
      </c>
      <c r="D115" t="s">
        <v>30</v>
      </c>
      <c r="E115" s="4">
        <v>40</v>
      </c>
      <c r="F115" s="4">
        <v>14626.5</v>
      </c>
      <c r="I115" s="4">
        <v>585060</v>
      </c>
    </row>
    <row r="116" spans="1:9" x14ac:dyDescent="0.3">
      <c r="A116" s="4" t="s">
        <v>366</v>
      </c>
      <c r="B116" s="5">
        <v>45943</v>
      </c>
      <c r="D116" t="s">
        <v>30</v>
      </c>
      <c r="E116" s="4">
        <v>75</v>
      </c>
      <c r="F116" s="4">
        <v>9570</v>
      </c>
      <c r="I116" s="4">
        <v>717750</v>
      </c>
    </row>
    <row r="117" spans="1:9" x14ac:dyDescent="0.3">
      <c r="A117" s="4" t="s">
        <v>366</v>
      </c>
      <c r="B117" s="5">
        <v>45943</v>
      </c>
      <c r="D117" t="s">
        <v>30</v>
      </c>
      <c r="E117" s="4">
        <v>20</v>
      </c>
      <c r="F117" s="4">
        <v>14906</v>
      </c>
      <c r="I117" s="4">
        <v>298120</v>
      </c>
    </row>
    <row r="118" spans="1:9" x14ac:dyDescent="0.3">
      <c r="A118" s="4" t="s">
        <v>378</v>
      </c>
      <c r="B118" s="5">
        <v>45944</v>
      </c>
      <c r="D118" t="s">
        <v>30</v>
      </c>
      <c r="E118" s="4">
        <v>50</v>
      </c>
      <c r="F118" s="4">
        <v>8937.5</v>
      </c>
      <c r="I118" s="4">
        <v>446875</v>
      </c>
    </row>
    <row r="119" spans="1:9" x14ac:dyDescent="0.3">
      <c r="A119" s="4" t="s">
        <v>357</v>
      </c>
      <c r="B119" s="5">
        <v>45945</v>
      </c>
      <c r="D119" t="s">
        <v>30</v>
      </c>
      <c r="E119" s="4">
        <v>25</v>
      </c>
      <c r="F119" s="4">
        <v>8545.4500000000007</v>
      </c>
      <c r="I119" s="4">
        <v>213636.25</v>
      </c>
    </row>
    <row r="120" spans="1:9" x14ac:dyDescent="0.3">
      <c r="A120" s="4" t="s">
        <v>357</v>
      </c>
      <c r="B120" s="5">
        <v>45945</v>
      </c>
      <c r="D120" t="s">
        <v>30</v>
      </c>
      <c r="E120" s="4">
        <v>25</v>
      </c>
      <c r="F120" s="4">
        <v>8947.1</v>
      </c>
      <c r="I120" s="4">
        <v>223677.5</v>
      </c>
    </row>
    <row r="121" spans="1:9" x14ac:dyDescent="0.3">
      <c r="A121" s="4" t="s">
        <v>367</v>
      </c>
      <c r="B121" s="5">
        <v>45946</v>
      </c>
      <c r="D121" t="s">
        <v>30</v>
      </c>
      <c r="E121" s="4">
        <v>50</v>
      </c>
      <c r="F121" s="4">
        <v>9132.5</v>
      </c>
      <c r="I121" s="4">
        <v>456625</v>
      </c>
    </row>
    <row r="122" spans="1:9" x14ac:dyDescent="0.3">
      <c r="A122" s="4" t="s">
        <v>367</v>
      </c>
      <c r="B122" s="5">
        <v>45946</v>
      </c>
      <c r="D122" t="s">
        <v>30</v>
      </c>
      <c r="E122" s="4">
        <v>20</v>
      </c>
      <c r="F122" s="4">
        <v>14443.4</v>
      </c>
      <c r="I122" s="4">
        <v>288868</v>
      </c>
    </row>
    <row r="123" spans="1:9" x14ac:dyDescent="0.3">
      <c r="A123" s="4" t="s">
        <v>358</v>
      </c>
      <c r="B123" s="5">
        <v>45947</v>
      </c>
      <c r="D123" t="s">
        <v>30</v>
      </c>
      <c r="E123" s="4">
        <v>25</v>
      </c>
      <c r="F123" s="4">
        <v>8823.1</v>
      </c>
      <c r="I123" s="4">
        <v>220577.5</v>
      </c>
    </row>
    <row r="124" spans="1:9" x14ac:dyDescent="0.3">
      <c r="A124" s="4" t="s">
        <v>358</v>
      </c>
      <c r="B124" s="5">
        <v>45947</v>
      </c>
      <c r="D124" t="s">
        <v>50</v>
      </c>
      <c r="E124" s="4">
        <v>20</v>
      </c>
      <c r="F124" s="4">
        <v>14228.5</v>
      </c>
      <c r="I124" s="4">
        <v>284570</v>
      </c>
    </row>
    <row r="125" spans="1:9" x14ac:dyDescent="0.3">
      <c r="A125" s="4" t="s">
        <v>358</v>
      </c>
      <c r="B125" s="5">
        <v>45947</v>
      </c>
      <c r="D125" t="s">
        <v>50</v>
      </c>
      <c r="E125" s="4">
        <v>50</v>
      </c>
      <c r="F125" s="4">
        <v>11440</v>
      </c>
      <c r="I125" s="4">
        <v>572000</v>
      </c>
    </row>
    <row r="126" spans="1:9" x14ac:dyDescent="0.3">
      <c r="A126" s="4" t="s">
        <v>358</v>
      </c>
      <c r="B126" s="5">
        <v>45947</v>
      </c>
      <c r="D126" t="s">
        <v>50</v>
      </c>
      <c r="E126" s="4">
        <v>25</v>
      </c>
      <c r="F126" s="4">
        <v>8823.1</v>
      </c>
      <c r="I126" s="4">
        <v>220577.5</v>
      </c>
    </row>
    <row r="127" spans="1:9" x14ac:dyDescent="0.3">
      <c r="A127" s="4" t="s">
        <v>368</v>
      </c>
      <c r="B127" s="5">
        <v>45950</v>
      </c>
      <c r="D127" t="s">
        <v>50</v>
      </c>
      <c r="E127" s="4">
        <v>150</v>
      </c>
      <c r="F127" s="4">
        <v>9735</v>
      </c>
      <c r="I127" s="4">
        <v>1460250</v>
      </c>
    </row>
    <row r="128" spans="1:9" x14ac:dyDescent="0.3">
      <c r="A128" s="4" t="s">
        <v>368</v>
      </c>
      <c r="B128" s="5">
        <v>45950</v>
      </c>
      <c r="D128" t="s">
        <v>420</v>
      </c>
      <c r="E128" s="4">
        <v>20</v>
      </c>
      <c r="F128" s="4">
        <v>15163</v>
      </c>
      <c r="I128" s="4">
        <v>303260</v>
      </c>
    </row>
    <row r="129" spans="1:9" x14ac:dyDescent="0.3">
      <c r="A129" s="4" t="s">
        <v>368</v>
      </c>
      <c r="B129" s="5">
        <v>45950</v>
      </c>
      <c r="D129" t="s">
        <v>420</v>
      </c>
      <c r="E129" s="4">
        <v>25</v>
      </c>
      <c r="F129" s="4">
        <v>15089.25</v>
      </c>
      <c r="I129" s="4">
        <v>377231.25</v>
      </c>
    </row>
    <row r="130" spans="1:9" x14ac:dyDescent="0.3">
      <c r="A130" s="4" t="s">
        <v>368</v>
      </c>
      <c r="B130" s="5">
        <v>45950</v>
      </c>
      <c r="D130" t="s">
        <v>420</v>
      </c>
      <c r="E130" s="4">
        <v>50</v>
      </c>
      <c r="F130" s="4">
        <v>13245.5</v>
      </c>
      <c r="I130" s="4">
        <v>662275</v>
      </c>
    </row>
    <row r="131" spans="1:9" x14ac:dyDescent="0.3">
      <c r="A131" s="4" t="s">
        <v>375</v>
      </c>
      <c r="B131" s="5">
        <v>45950</v>
      </c>
      <c r="D131" t="s">
        <v>420</v>
      </c>
      <c r="E131" s="4">
        <v>25</v>
      </c>
      <c r="F131" s="4">
        <v>14956.5</v>
      </c>
      <c r="I131" s="4">
        <v>373912.5</v>
      </c>
    </row>
    <row r="132" spans="1:9" x14ac:dyDescent="0.3">
      <c r="A132" s="4" t="s">
        <v>377</v>
      </c>
      <c r="B132" s="5">
        <v>45950</v>
      </c>
      <c r="D132" t="s">
        <v>420</v>
      </c>
      <c r="E132" s="4">
        <v>50</v>
      </c>
      <c r="F132" s="4">
        <v>11960</v>
      </c>
      <c r="I132" s="4">
        <v>598000</v>
      </c>
    </row>
    <row r="133" spans="1:9" x14ac:dyDescent="0.3">
      <c r="A133" s="4" t="s">
        <v>359</v>
      </c>
      <c r="B133" s="5">
        <v>45951</v>
      </c>
      <c r="D133" t="s">
        <v>420</v>
      </c>
      <c r="E133" s="4">
        <v>25</v>
      </c>
      <c r="F133" s="4">
        <v>9224.15</v>
      </c>
      <c r="I133" s="4">
        <v>230603.75</v>
      </c>
    </row>
    <row r="134" spans="1:9" x14ac:dyDescent="0.3">
      <c r="A134" s="4" t="s">
        <v>359</v>
      </c>
      <c r="B134" s="5">
        <v>45951</v>
      </c>
      <c r="D134" t="s">
        <v>420</v>
      </c>
      <c r="E134" s="4">
        <v>50</v>
      </c>
      <c r="F134" s="4">
        <v>9867</v>
      </c>
      <c r="I134" s="4">
        <v>493350</v>
      </c>
    </row>
    <row r="135" spans="1:9" x14ac:dyDescent="0.3">
      <c r="A135" s="4" t="s">
        <v>369</v>
      </c>
      <c r="B135" s="5">
        <v>45952</v>
      </c>
      <c r="D135" t="s">
        <v>62</v>
      </c>
      <c r="E135" s="4">
        <v>100</v>
      </c>
      <c r="F135" s="4">
        <v>9847.5</v>
      </c>
      <c r="I135" s="4">
        <v>984750</v>
      </c>
    </row>
    <row r="136" spans="1:9" x14ac:dyDescent="0.3">
      <c r="A136" s="4" t="s">
        <v>360</v>
      </c>
      <c r="B136" s="5">
        <v>45953</v>
      </c>
      <c r="D136" t="s">
        <v>195</v>
      </c>
      <c r="E136" s="4">
        <v>50</v>
      </c>
      <c r="F136" s="4">
        <v>9347.5499999999993</v>
      </c>
      <c r="I136" s="4">
        <v>467377.5</v>
      </c>
    </row>
    <row r="137" spans="1:9" x14ac:dyDescent="0.3">
      <c r="A137" s="4" t="s">
        <v>360</v>
      </c>
      <c r="B137" s="5">
        <v>45953</v>
      </c>
      <c r="D137" t="s">
        <v>130</v>
      </c>
      <c r="E137" s="4">
        <v>50</v>
      </c>
      <c r="F137" s="4">
        <v>9999</v>
      </c>
      <c r="I137" s="4">
        <v>499950</v>
      </c>
    </row>
    <row r="138" spans="1:9" x14ac:dyDescent="0.3">
      <c r="A138" s="4" t="s">
        <v>360</v>
      </c>
      <c r="B138" s="5">
        <v>45953</v>
      </c>
      <c r="D138" t="s">
        <v>130</v>
      </c>
      <c r="E138" s="4">
        <v>20</v>
      </c>
      <c r="F138" s="4">
        <v>15074.25</v>
      </c>
      <c r="I138" s="4">
        <v>301485</v>
      </c>
    </row>
    <row r="139" spans="1:9" x14ac:dyDescent="0.3">
      <c r="A139" s="4" t="s">
        <v>373</v>
      </c>
      <c r="B139" s="5">
        <v>45954</v>
      </c>
      <c r="D139" t="s">
        <v>78</v>
      </c>
      <c r="E139" s="4">
        <v>20</v>
      </c>
      <c r="F139" s="4">
        <v>15471.4</v>
      </c>
      <c r="I139" s="4">
        <v>309428</v>
      </c>
    </row>
    <row r="140" spans="1:9" x14ac:dyDescent="0.3">
      <c r="A140" s="4" t="s">
        <v>373</v>
      </c>
      <c r="B140" s="5">
        <v>45954</v>
      </c>
      <c r="D140" t="s">
        <v>32</v>
      </c>
      <c r="E140" s="4">
        <v>50</v>
      </c>
      <c r="F140" s="4">
        <v>9782.5</v>
      </c>
      <c r="I140" s="4">
        <v>489125</v>
      </c>
    </row>
    <row r="141" spans="1:9" x14ac:dyDescent="0.3">
      <c r="A141" s="4" t="s">
        <v>379</v>
      </c>
      <c r="B141" s="5">
        <v>45954</v>
      </c>
      <c r="D141" t="s">
        <v>32</v>
      </c>
      <c r="E141" s="4">
        <v>25</v>
      </c>
      <c r="F141" s="4">
        <v>9782.5</v>
      </c>
      <c r="I141" s="4">
        <v>244562.5</v>
      </c>
    </row>
    <row r="142" spans="1:9" x14ac:dyDescent="0.3">
      <c r="A142" s="4" t="s">
        <v>370</v>
      </c>
      <c r="B142" s="5">
        <v>45957</v>
      </c>
      <c r="D142" t="s">
        <v>172</v>
      </c>
      <c r="E142" s="4">
        <v>125</v>
      </c>
      <c r="F142" s="4">
        <v>9999</v>
      </c>
      <c r="I142" s="4">
        <v>1249875</v>
      </c>
    </row>
    <row r="143" spans="1:9" x14ac:dyDescent="0.3">
      <c r="A143" s="4" t="s">
        <v>370</v>
      </c>
      <c r="B143" s="5">
        <v>45957</v>
      </c>
      <c r="D143" t="s">
        <v>172</v>
      </c>
      <c r="E143" s="4">
        <v>20</v>
      </c>
      <c r="F143" s="4">
        <v>15574.2</v>
      </c>
      <c r="I143" s="4">
        <v>311484</v>
      </c>
    </row>
    <row r="144" spans="1:9" x14ac:dyDescent="0.3">
      <c r="A144" s="4" t="s">
        <v>361</v>
      </c>
      <c r="B144" s="5">
        <v>45958</v>
      </c>
      <c r="D144" t="s">
        <v>172</v>
      </c>
      <c r="E144" s="4">
        <v>50</v>
      </c>
      <c r="F144" s="4">
        <v>9008.2000000000007</v>
      </c>
      <c r="I144" s="4">
        <v>450410</v>
      </c>
    </row>
    <row r="145" spans="1:9" x14ac:dyDescent="0.3">
      <c r="A145" s="4" t="s">
        <v>362</v>
      </c>
      <c r="B145" s="5">
        <v>45961</v>
      </c>
      <c r="D145" t="s">
        <v>172</v>
      </c>
      <c r="E145" s="4">
        <v>50</v>
      </c>
      <c r="F145" s="4">
        <v>9039.0499999999993</v>
      </c>
      <c r="I145" s="4">
        <v>451952.5</v>
      </c>
    </row>
    <row r="146" spans="1:9" x14ac:dyDescent="0.3">
      <c r="A146" s="4" t="s">
        <v>371</v>
      </c>
      <c r="B146" s="5">
        <v>45961</v>
      </c>
      <c r="D146" t="s">
        <v>172</v>
      </c>
      <c r="E146" s="4">
        <v>150</v>
      </c>
      <c r="F146" s="4">
        <v>9669</v>
      </c>
      <c r="I146" s="4">
        <v>1450350</v>
      </c>
    </row>
    <row r="147" spans="1:9" x14ac:dyDescent="0.3">
      <c r="A147" s="1" t="s">
        <v>388</v>
      </c>
      <c r="B147" s="2">
        <v>45965</v>
      </c>
      <c r="D147" t="s">
        <v>47</v>
      </c>
      <c r="E147" s="1">
        <v>20</v>
      </c>
      <c r="F147" s="1">
        <v>15317.2</v>
      </c>
      <c r="I147" s="1">
        <v>306344</v>
      </c>
    </row>
    <row r="148" spans="1:9" x14ac:dyDescent="0.3">
      <c r="A148" s="1" t="s">
        <v>388</v>
      </c>
      <c r="B148" s="2">
        <v>45965</v>
      </c>
      <c r="D148" t="s">
        <v>47</v>
      </c>
      <c r="E148" s="1">
        <v>20</v>
      </c>
      <c r="F148" s="1">
        <v>27758.7</v>
      </c>
      <c r="I148" s="1">
        <v>555174</v>
      </c>
    </row>
    <row r="149" spans="1:9" x14ac:dyDescent="0.3">
      <c r="A149" s="1" t="s">
        <v>388</v>
      </c>
      <c r="B149" s="2">
        <v>45965</v>
      </c>
      <c r="D149" t="s">
        <v>47</v>
      </c>
      <c r="E149" s="1">
        <v>25</v>
      </c>
      <c r="F149" s="1">
        <v>13380.2</v>
      </c>
      <c r="I149" s="1">
        <v>334505</v>
      </c>
    </row>
    <row r="150" spans="1:9" x14ac:dyDescent="0.3">
      <c r="A150" s="1" t="s">
        <v>395</v>
      </c>
      <c r="B150" s="2">
        <v>45966</v>
      </c>
      <c r="D150" t="s">
        <v>47</v>
      </c>
      <c r="E150" s="1">
        <v>75</v>
      </c>
      <c r="F150" s="1">
        <v>9652.5</v>
      </c>
      <c r="I150" s="1">
        <v>723937.5</v>
      </c>
    </row>
    <row r="151" spans="1:9" x14ac:dyDescent="0.3">
      <c r="A151" s="1" t="s">
        <v>384</v>
      </c>
      <c r="B151" s="2">
        <v>45967</v>
      </c>
      <c r="D151" t="s">
        <v>30</v>
      </c>
      <c r="E151" s="1">
        <v>75</v>
      </c>
      <c r="F151" s="1">
        <v>9735</v>
      </c>
      <c r="I151" s="1">
        <v>730125</v>
      </c>
    </row>
    <row r="152" spans="1:9" x14ac:dyDescent="0.3">
      <c r="A152" s="1" t="s">
        <v>384</v>
      </c>
      <c r="B152" s="2">
        <v>45967</v>
      </c>
      <c r="D152" t="s">
        <v>30</v>
      </c>
      <c r="E152" s="1">
        <v>25</v>
      </c>
      <c r="F152" s="1">
        <v>9528.5</v>
      </c>
      <c r="I152" s="1">
        <v>238212.5</v>
      </c>
    </row>
    <row r="153" spans="1:9" x14ac:dyDescent="0.3">
      <c r="A153" s="1" t="s">
        <v>385</v>
      </c>
      <c r="B153" s="2">
        <v>45971</v>
      </c>
      <c r="D153" t="s">
        <v>30</v>
      </c>
      <c r="E153" s="1">
        <v>50</v>
      </c>
      <c r="F153" s="1">
        <v>9537</v>
      </c>
      <c r="I153" s="1">
        <v>476850</v>
      </c>
    </row>
    <row r="154" spans="1:9" x14ac:dyDescent="0.3">
      <c r="A154" s="1" t="s">
        <v>385</v>
      </c>
      <c r="B154" s="2">
        <v>45971</v>
      </c>
      <c r="D154" t="s">
        <v>30</v>
      </c>
      <c r="E154" s="1">
        <v>20</v>
      </c>
      <c r="F154" s="1">
        <v>14854.6</v>
      </c>
      <c r="I154" s="1">
        <v>297092</v>
      </c>
    </row>
    <row r="155" spans="1:9" x14ac:dyDescent="0.3">
      <c r="A155" s="1" t="s">
        <v>392</v>
      </c>
      <c r="B155" s="2">
        <v>45971</v>
      </c>
      <c r="D155" t="s">
        <v>30</v>
      </c>
      <c r="E155" s="1">
        <v>25</v>
      </c>
      <c r="F155" s="1">
        <v>11892.35</v>
      </c>
      <c r="I155" s="1">
        <v>297308.75</v>
      </c>
    </row>
    <row r="156" spans="1:9" x14ac:dyDescent="0.3">
      <c r="A156" s="1" t="s">
        <v>385</v>
      </c>
      <c r="B156" s="2">
        <v>45971</v>
      </c>
      <c r="D156" t="s">
        <v>30</v>
      </c>
      <c r="E156" s="1">
        <v>25</v>
      </c>
      <c r="F156" s="1">
        <v>13741.95</v>
      </c>
      <c r="I156" s="1">
        <v>343548.75</v>
      </c>
    </row>
    <row r="157" spans="1:9" x14ac:dyDescent="0.3">
      <c r="A157" s="1" t="s">
        <v>396</v>
      </c>
      <c r="B157" s="2">
        <v>45971</v>
      </c>
      <c r="D157" t="s">
        <v>50</v>
      </c>
      <c r="E157" s="1">
        <v>25</v>
      </c>
      <c r="F157" s="1">
        <v>13741.95</v>
      </c>
      <c r="I157" s="1">
        <v>343548.75</v>
      </c>
    </row>
    <row r="158" spans="1:9" x14ac:dyDescent="0.3">
      <c r="A158" s="1" t="s">
        <v>391</v>
      </c>
      <c r="B158" s="2">
        <v>45973</v>
      </c>
      <c r="D158" t="s">
        <v>50</v>
      </c>
      <c r="E158" s="1">
        <v>25</v>
      </c>
      <c r="F158" s="1">
        <v>12976.1</v>
      </c>
      <c r="I158" s="1">
        <v>324402.5</v>
      </c>
    </row>
    <row r="159" spans="1:9" x14ac:dyDescent="0.3">
      <c r="A159" s="1" t="s">
        <v>391</v>
      </c>
      <c r="B159" s="2">
        <v>45973</v>
      </c>
      <c r="D159" t="s">
        <v>50</v>
      </c>
      <c r="E159" s="1">
        <v>25</v>
      </c>
      <c r="F159" s="1">
        <v>11892.35</v>
      </c>
      <c r="I159" s="1">
        <v>297308.75</v>
      </c>
    </row>
    <row r="160" spans="1:9" x14ac:dyDescent="0.3">
      <c r="A160" s="1" t="s">
        <v>391</v>
      </c>
      <c r="B160" s="2">
        <v>45973</v>
      </c>
      <c r="D160" t="s">
        <v>420</v>
      </c>
      <c r="E160" s="1">
        <v>25</v>
      </c>
      <c r="F160" s="1">
        <v>13741.95</v>
      </c>
      <c r="I160" s="1">
        <v>343548.75</v>
      </c>
    </row>
    <row r="161" spans="1:9" x14ac:dyDescent="0.3">
      <c r="A161" s="1" t="s">
        <v>397</v>
      </c>
      <c r="B161" s="2">
        <v>45973</v>
      </c>
      <c r="D161" t="s">
        <v>420</v>
      </c>
      <c r="E161" s="1">
        <v>-25</v>
      </c>
      <c r="F161" s="1">
        <v>13741.95</v>
      </c>
      <c r="I161" s="1">
        <v>-343548.75</v>
      </c>
    </row>
    <row r="162" spans="1:9" x14ac:dyDescent="0.3">
      <c r="A162" s="1" t="s">
        <v>386</v>
      </c>
      <c r="B162" s="2">
        <v>45974</v>
      </c>
      <c r="D162" t="s">
        <v>420</v>
      </c>
      <c r="E162" s="1">
        <v>150</v>
      </c>
      <c r="F162" s="1">
        <v>9471</v>
      </c>
      <c r="I162" s="1">
        <v>1420650</v>
      </c>
    </row>
    <row r="163" spans="1:9" x14ac:dyDescent="0.3">
      <c r="A163" s="1" t="s">
        <v>386</v>
      </c>
      <c r="B163" s="2">
        <v>45974</v>
      </c>
      <c r="D163" t="s">
        <v>420</v>
      </c>
      <c r="E163" s="1">
        <v>20</v>
      </c>
      <c r="F163" s="1">
        <v>14278.25</v>
      </c>
      <c r="I163" s="1">
        <v>285565</v>
      </c>
    </row>
    <row r="164" spans="1:9" x14ac:dyDescent="0.3">
      <c r="A164" s="1" t="s">
        <v>380</v>
      </c>
      <c r="B164" s="2">
        <v>45975</v>
      </c>
      <c r="D164" t="s">
        <v>420</v>
      </c>
      <c r="E164" s="1">
        <v>25</v>
      </c>
      <c r="F164" s="1">
        <v>8823.1</v>
      </c>
      <c r="I164" s="1">
        <v>220577.5</v>
      </c>
    </row>
    <row r="165" spans="1:9" x14ac:dyDescent="0.3">
      <c r="A165" s="1" t="s">
        <v>380</v>
      </c>
      <c r="B165" s="2">
        <v>45975</v>
      </c>
      <c r="D165" t="s">
        <v>62</v>
      </c>
      <c r="E165" s="1">
        <v>50</v>
      </c>
      <c r="F165" s="1">
        <v>9438</v>
      </c>
      <c r="I165" s="1">
        <v>471900</v>
      </c>
    </row>
    <row r="166" spans="1:9" x14ac:dyDescent="0.3">
      <c r="A166" s="1" t="s">
        <v>380</v>
      </c>
      <c r="B166" s="2">
        <v>45975</v>
      </c>
      <c r="D166" t="s">
        <v>76</v>
      </c>
      <c r="E166" s="1">
        <v>20</v>
      </c>
      <c r="F166" s="1">
        <v>14700.4</v>
      </c>
      <c r="I166" s="1">
        <v>294008</v>
      </c>
    </row>
    <row r="167" spans="1:9" x14ac:dyDescent="0.3">
      <c r="A167" s="1" t="s">
        <v>381</v>
      </c>
      <c r="B167" s="2">
        <v>45978</v>
      </c>
      <c r="D167" t="s">
        <v>130</v>
      </c>
      <c r="E167" s="1">
        <v>25</v>
      </c>
      <c r="F167" s="1">
        <v>8792.25</v>
      </c>
      <c r="I167" s="1">
        <v>219806.25</v>
      </c>
    </row>
    <row r="168" spans="1:9" x14ac:dyDescent="0.3">
      <c r="A168" s="1" t="s">
        <v>381</v>
      </c>
      <c r="B168" s="2">
        <v>45978</v>
      </c>
      <c r="D168" t="s">
        <v>130</v>
      </c>
      <c r="E168" s="1">
        <v>25</v>
      </c>
      <c r="F168" s="1">
        <v>11400</v>
      </c>
      <c r="I168" s="1">
        <v>285000</v>
      </c>
    </row>
    <row r="169" spans="1:9" x14ac:dyDescent="0.3">
      <c r="A169" s="1" t="s">
        <v>387</v>
      </c>
      <c r="B169" s="2">
        <v>45979</v>
      </c>
      <c r="D169" t="s">
        <v>421</v>
      </c>
      <c r="E169" s="1">
        <v>50</v>
      </c>
      <c r="F169" s="1">
        <v>9339</v>
      </c>
      <c r="I169" s="1">
        <v>466950</v>
      </c>
    </row>
    <row r="170" spans="1:9" x14ac:dyDescent="0.3">
      <c r="A170" s="1" t="s">
        <v>387</v>
      </c>
      <c r="B170" s="2">
        <v>45979</v>
      </c>
      <c r="D170" t="s">
        <v>421</v>
      </c>
      <c r="E170" s="1">
        <v>25</v>
      </c>
      <c r="F170" s="1">
        <v>11320</v>
      </c>
      <c r="I170" s="1">
        <v>283000</v>
      </c>
    </row>
    <row r="171" spans="1:9" x14ac:dyDescent="0.3">
      <c r="A171" s="1" t="s">
        <v>382</v>
      </c>
      <c r="B171" s="2">
        <v>45980</v>
      </c>
      <c r="D171" t="s">
        <v>32</v>
      </c>
      <c r="E171" s="1">
        <v>25</v>
      </c>
      <c r="F171" s="1">
        <v>8792.25</v>
      </c>
      <c r="I171" s="1">
        <v>219806.25</v>
      </c>
    </row>
    <row r="172" spans="1:9" x14ac:dyDescent="0.3">
      <c r="A172" s="1" t="s">
        <v>382</v>
      </c>
      <c r="B172" s="2">
        <v>45980</v>
      </c>
      <c r="D172" t="s">
        <v>32</v>
      </c>
      <c r="E172" s="1">
        <v>20</v>
      </c>
      <c r="F172" s="1">
        <v>14178.75</v>
      </c>
      <c r="I172" s="1">
        <v>283575</v>
      </c>
    </row>
    <row r="173" spans="1:9" x14ac:dyDescent="0.3">
      <c r="A173" s="1" t="s">
        <v>382</v>
      </c>
      <c r="B173" s="2">
        <v>45980</v>
      </c>
      <c r="D173" t="s">
        <v>32</v>
      </c>
      <c r="E173" s="1">
        <v>20</v>
      </c>
      <c r="F173" s="1">
        <v>14649</v>
      </c>
      <c r="I173" s="1">
        <v>292980</v>
      </c>
    </row>
    <row r="174" spans="1:9" x14ac:dyDescent="0.3">
      <c r="A174" s="1" t="s">
        <v>382</v>
      </c>
      <c r="B174" s="2">
        <v>45980</v>
      </c>
      <c r="D174" t="s">
        <v>32</v>
      </c>
      <c r="E174" s="1">
        <v>25</v>
      </c>
      <c r="F174" s="1">
        <v>11400</v>
      </c>
      <c r="I174" s="1">
        <v>285000</v>
      </c>
    </row>
    <row r="175" spans="1:9" x14ac:dyDescent="0.3">
      <c r="A175" s="1" t="s">
        <v>383</v>
      </c>
      <c r="B175" s="2">
        <v>45981</v>
      </c>
      <c r="D175" t="s">
        <v>32</v>
      </c>
      <c r="E175" s="1">
        <v>25</v>
      </c>
      <c r="F175" s="1">
        <v>8823.1</v>
      </c>
      <c r="I175" s="1">
        <v>220577.5</v>
      </c>
    </row>
    <row r="176" spans="1:9" x14ac:dyDescent="0.3">
      <c r="A176" s="1" t="s">
        <v>383</v>
      </c>
      <c r="B176" s="2">
        <v>45981</v>
      </c>
      <c r="D176" t="s">
        <v>172</v>
      </c>
      <c r="E176" s="1">
        <v>75</v>
      </c>
      <c r="F176" s="1">
        <v>10010</v>
      </c>
      <c r="I176" s="1">
        <v>750750</v>
      </c>
    </row>
    <row r="177" spans="1:9" x14ac:dyDescent="0.3">
      <c r="A177" s="1" t="s">
        <v>383</v>
      </c>
      <c r="B177" s="2">
        <v>45981</v>
      </c>
      <c r="D177" t="s">
        <v>172</v>
      </c>
      <c r="E177" s="1">
        <v>20</v>
      </c>
      <c r="F177" s="1">
        <v>14228.5</v>
      </c>
      <c r="I177" s="1">
        <v>284570</v>
      </c>
    </row>
    <row r="178" spans="1:9" x14ac:dyDescent="0.3">
      <c r="A178" s="1" t="s">
        <v>383</v>
      </c>
      <c r="B178" s="2">
        <v>45981</v>
      </c>
      <c r="D178" t="s">
        <v>425</v>
      </c>
      <c r="E178" s="1">
        <v>50</v>
      </c>
      <c r="F178" s="1">
        <v>8823.1</v>
      </c>
      <c r="I178" s="1">
        <v>441155</v>
      </c>
    </row>
    <row r="179" spans="1:9" x14ac:dyDescent="0.3">
      <c r="A179" s="1" t="s">
        <v>389</v>
      </c>
      <c r="B179" s="2">
        <v>45986</v>
      </c>
      <c r="D179" t="s">
        <v>425</v>
      </c>
      <c r="E179" s="1">
        <v>20</v>
      </c>
      <c r="F179" s="1">
        <v>14906</v>
      </c>
      <c r="I179" s="1">
        <v>298120</v>
      </c>
    </row>
    <row r="180" spans="1:9" x14ac:dyDescent="0.3">
      <c r="A180" s="1" t="s">
        <v>389</v>
      </c>
      <c r="B180" s="2">
        <v>45986</v>
      </c>
      <c r="D180" t="s">
        <v>425</v>
      </c>
      <c r="E180" s="1">
        <v>251</v>
      </c>
      <c r="F180" s="1">
        <v>11600</v>
      </c>
      <c r="I180" s="1">
        <v>2911600</v>
      </c>
    </row>
    <row r="181" spans="1:9" x14ac:dyDescent="0.3">
      <c r="A181" s="1" t="s">
        <v>393</v>
      </c>
      <c r="B181" s="2">
        <v>45986</v>
      </c>
      <c r="D181" t="s">
        <v>425</v>
      </c>
      <c r="E181" s="1">
        <v>-226</v>
      </c>
      <c r="F181" s="1">
        <v>11600</v>
      </c>
      <c r="I181" s="1">
        <v>-2621600</v>
      </c>
    </row>
    <row r="182" spans="1:9" x14ac:dyDescent="0.3">
      <c r="A182" s="1" t="s">
        <v>400</v>
      </c>
      <c r="B182" s="2">
        <v>45992</v>
      </c>
      <c r="D182" t="s">
        <v>47</v>
      </c>
      <c r="E182" s="1">
        <v>25</v>
      </c>
      <c r="F182" s="1">
        <v>9100.75</v>
      </c>
      <c r="I182" s="1">
        <v>227518.75</v>
      </c>
    </row>
    <row r="183" spans="1:9" x14ac:dyDescent="0.3">
      <c r="A183" s="1" t="s">
        <v>400</v>
      </c>
      <c r="B183" s="2">
        <v>45992</v>
      </c>
      <c r="D183" t="s">
        <v>47</v>
      </c>
      <c r="E183" s="1">
        <v>50</v>
      </c>
      <c r="F183" s="1">
        <v>9587.5</v>
      </c>
      <c r="I183" s="1">
        <v>479375</v>
      </c>
    </row>
    <row r="184" spans="1:9" x14ac:dyDescent="0.3">
      <c r="A184" s="1" t="s">
        <v>401</v>
      </c>
      <c r="B184" s="2">
        <v>45994</v>
      </c>
      <c r="D184" t="s">
        <v>47</v>
      </c>
      <c r="E184" s="1">
        <v>25</v>
      </c>
      <c r="F184" s="1">
        <v>9131.6</v>
      </c>
      <c r="I184" s="1">
        <v>228290</v>
      </c>
    </row>
    <row r="185" spans="1:9" x14ac:dyDescent="0.3">
      <c r="A185" s="1" t="s">
        <v>401</v>
      </c>
      <c r="B185" s="2">
        <v>45994</v>
      </c>
      <c r="D185" t="s">
        <v>47</v>
      </c>
      <c r="E185" s="1">
        <v>50</v>
      </c>
      <c r="F185" s="1">
        <v>9620</v>
      </c>
      <c r="I185" s="1">
        <v>481000</v>
      </c>
    </row>
    <row r="186" spans="1:9" x14ac:dyDescent="0.3">
      <c r="A186" s="1" t="s">
        <v>402</v>
      </c>
      <c r="B186" s="2">
        <v>45996</v>
      </c>
      <c r="D186" t="s">
        <v>47</v>
      </c>
      <c r="E186" s="1">
        <v>25</v>
      </c>
      <c r="F186" s="1">
        <v>9069.9</v>
      </c>
      <c r="I186" s="1">
        <v>226747.5</v>
      </c>
    </row>
    <row r="187" spans="1:9" x14ac:dyDescent="0.3">
      <c r="A187" s="1" t="s">
        <v>402</v>
      </c>
      <c r="B187" s="2">
        <v>45996</v>
      </c>
      <c r="D187" t="s">
        <v>47</v>
      </c>
      <c r="E187" s="1">
        <v>20</v>
      </c>
      <c r="F187" s="1">
        <v>14626.5</v>
      </c>
      <c r="I187" s="1">
        <v>292530</v>
      </c>
    </row>
    <row r="188" spans="1:9" x14ac:dyDescent="0.3">
      <c r="A188" s="1" t="s">
        <v>402</v>
      </c>
      <c r="B188" s="2">
        <v>45996</v>
      </c>
      <c r="D188" t="s">
        <v>47</v>
      </c>
      <c r="E188" s="1">
        <v>25</v>
      </c>
      <c r="F188" s="1">
        <v>13200.6</v>
      </c>
      <c r="I188" s="1">
        <v>330015</v>
      </c>
    </row>
    <row r="189" spans="1:9" x14ac:dyDescent="0.3">
      <c r="A189" s="1" t="s">
        <v>412</v>
      </c>
      <c r="B189" s="2">
        <v>46000</v>
      </c>
      <c r="D189" t="s">
        <v>30</v>
      </c>
      <c r="E189" s="1">
        <v>20</v>
      </c>
      <c r="F189" s="1">
        <v>14527</v>
      </c>
      <c r="I189" s="1">
        <v>290540</v>
      </c>
    </row>
    <row r="190" spans="1:9" x14ac:dyDescent="0.3">
      <c r="A190" s="1" t="s">
        <v>412</v>
      </c>
      <c r="B190" s="2">
        <v>46000</v>
      </c>
      <c r="D190" t="s">
        <v>30</v>
      </c>
      <c r="E190" s="1">
        <v>20</v>
      </c>
      <c r="F190" s="1">
        <v>15008.8</v>
      </c>
      <c r="I190" s="1">
        <v>300176</v>
      </c>
    </row>
    <row r="191" spans="1:9" x14ac:dyDescent="0.3">
      <c r="A191" s="1" t="s">
        <v>403</v>
      </c>
      <c r="B191" s="2">
        <v>46001</v>
      </c>
      <c r="D191" t="s">
        <v>30</v>
      </c>
      <c r="E191" s="1">
        <v>50</v>
      </c>
      <c r="F191" s="1">
        <v>9039.0499999999993</v>
      </c>
      <c r="I191" s="1">
        <v>451952.5</v>
      </c>
    </row>
    <row r="192" spans="1:9" x14ac:dyDescent="0.3">
      <c r="A192" s="1" t="s">
        <v>403</v>
      </c>
      <c r="B192" s="2">
        <v>46001</v>
      </c>
      <c r="D192" t="s">
        <v>30</v>
      </c>
      <c r="E192" s="1">
        <v>50</v>
      </c>
      <c r="F192" s="1">
        <v>10255</v>
      </c>
      <c r="I192" s="1">
        <v>512750</v>
      </c>
    </row>
    <row r="193" spans="1:9" x14ac:dyDescent="0.3">
      <c r="A193" s="1" t="s">
        <v>404</v>
      </c>
      <c r="B193" s="2">
        <v>46002</v>
      </c>
      <c r="D193" t="s">
        <v>30</v>
      </c>
      <c r="E193" s="1">
        <v>25</v>
      </c>
      <c r="F193" s="1">
        <v>9039.0499999999993</v>
      </c>
      <c r="I193" s="1">
        <v>225976.25</v>
      </c>
    </row>
    <row r="194" spans="1:9" x14ac:dyDescent="0.3">
      <c r="A194" s="1" t="s">
        <v>404</v>
      </c>
      <c r="B194" s="2">
        <v>46002</v>
      </c>
      <c r="D194" t="s">
        <v>30</v>
      </c>
      <c r="E194" s="1">
        <v>50</v>
      </c>
      <c r="F194" s="1">
        <v>9669</v>
      </c>
      <c r="I194" s="1">
        <v>483450</v>
      </c>
    </row>
    <row r="195" spans="1:9" x14ac:dyDescent="0.3">
      <c r="A195" s="1" t="s">
        <v>404</v>
      </c>
      <c r="B195" s="2">
        <v>46002</v>
      </c>
      <c r="D195" t="s">
        <v>30</v>
      </c>
      <c r="E195" s="1">
        <v>20</v>
      </c>
      <c r="F195" s="1">
        <v>14576.75</v>
      </c>
      <c r="I195" s="1">
        <v>291535</v>
      </c>
    </row>
    <row r="196" spans="1:9" x14ac:dyDescent="0.3">
      <c r="A196" s="1" t="s">
        <v>407</v>
      </c>
      <c r="B196" s="2">
        <v>46006</v>
      </c>
      <c r="D196" t="s">
        <v>30</v>
      </c>
      <c r="E196" s="1">
        <v>125</v>
      </c>
      <c r="F196" s="1">
        <v>9669</v>
      </c>
      <c r="I196" s="1">
        <v>1208625</v>
      </c>
    </row>
    <row r="197" spans="1:9" x14ac:dyDescent="0.3">
      <c r="A197" s="1" t="s">
        <v>407</v>
      </c>
      <c r="B197" s="2">
        <v>46006</v>
      </c>
      <c r="D197" t="s">
        <v>30</v>
      </c>
      <c r="E197" s="1">
        <v>20</v>
      </c>
      <c r="F197" s="1">
        <v>15060.2</v>
      </c>
      <c r="I197" s="1">
        <v>301204</v>
      </c>
    </row>
    <row r="198" spans="1:9" x14ac:dyDescent="0.3">
      <c r="A198" s="1" t="s">
        <v>413</v>
      </c>
      <c r="B198" s="2">
        <v>46006</v>
      </c>
      <c r="D198" t="s">
        <v>50</v>
      </c>
      <c r="E198" s="1">
        <v>25</v>
      </c>
      <c r="F198" s="1">
        <v>9463.9</v>
      </c>
      <c r="I198" s="1">
        <v>236597.5</v>
      </c>
    </row>
    <row r="199" spans="1:9" x14ac:dyDescent="0.3">
      <c r="A199" s="1" t="s">
        <v>405</v>
      </c>
      <c r="B199" s="2">
        <v>46007</v>
      </c>
      <c r="D199" t="s">
        <v>50</v>
      </c>
      <c r="E199" s="1">
        <v>50</v>
      </c>
      <c r="F199" s="1">
        <v>9039.0499999999993</v>
      </c>
      <c r="I199" s="1">
        <v>451952.5</v>
      </c>
    </row>
    <row r="200" spans="1:9" x14ac:dyDescent="0.3">
      <c r="A200" s="1" t="s">
        <v>405</v>
      </c>
      <c r="B200" s="2">
        <v>46007</v>
      </c>
      <c r="D200" t="s">
        <v>50</v>
      </c>
      <c r="E200" s="1">
        <v>50</v>
      </c>
      <c r="F200" s="1">
        <v>9669</v>
      </c>
      <c r="I200" s="1">
        <v>483450</v>
      </c>
    </row>
    <row r="201" spans="1:9" x14ac:dyDescent="0.3">
      <c r="A201" s="1" t="s">
        <v>408</v>
      </c>
      <c r="B201" s="2">
        <v>46008</v>
      </c>
      <c r="D201" t="s">
        <v>50</v>
      </c>
      <c r="E201" s="1">
        <v>50</v>
      </c>
      <c r="F201" s="1">
        <v>9768</v>
      </c>
      <c r="I201" s="1">
        <v>488400</v>
      </c>
    </row>
    <row r="202" spans="1:9" x14ac:dyDescent="0.3">
      <c r="A202" s="1" t="s">
        <v>408</v>
      </c>
      <c r="B202" s="2">
        <v>46008</v>
      </c>
      <c r="D202" t="s">
        <v>420</v>
      </c>
      <c r="E202" s="1">
        <v>15</v>
      </c>
      <c r="F202" s="1">
        <v>35520</v>
      </c>
      <c r="I202" s="1">
        <v>532800</v>
      </c>
    </row>
    <row r="203" spans="1:9" x14ac:dyDescent="0.3">
      <c r="A203" s="1" t="s">
        <v>408</v>
      </c>
      <c r="B203" s="2">
        <v>46008</v>
      </c>
      <c r="D203" t="s">
        <v>420</v>
      </c>
      <c r="E203" s="1">
        <v>15</v>
      </c>
      <c r="F203" s="1">
        <v>37666</v>
      </c>
      <c r="I203" s="1">
        <v>564990</v>
      </c>
    </row>
    <row r="204" spans="1:9" x14ac:dyDescent="0.3">
      <c r="A204" s="1" t="s">
        <v>408</v>
      </c>
      <c r="B204" s="2">
        <v>46008</v>
      </c>
      <c r="D204" t="s">
        <v>420</v>
      </c>
      <c r="E204" s="1">
        <v>15</v>
      </c>
      <c r="F204" s="1">
        <v>38435.599999999999</v>
      </c>
      <c r="I204" s="1">
        <v>576534</v>
      </c>
    </row>
    <row r="205" spans="1:9" x14ac:dyDescent="0.3">
      <c r="A205" s="1" t="s">
        <v>409</v>
      </c>
      <c r="B205" s="2">
        <v>46009</v>
      </c>
      <c r="D205" t="s">
        <v>420</v>
      </c>
      <c r="E205" s="1">
        <v>50</v>
      </c>
      <c r="F205" s="1">
        <v>9735</v>
      </c>
      <c r="I205" s="1">
        <v>486750</v>
      </c>
    </row>
    <row r="206" spans="1:9" x14ac:dyDescent="0.3">
      <c r="A206" s="1" t="s">
        <v>409</v>
      </c>
      <c r="B206" s="2">
        <v>46009</v>
      </c>
      <c r="D206" t="s">
        <v>420</v>
      </c>
      <c r="E206" s="1">
        <v>20</v>
      </c>
      <c r="F206" s="1">
        <v>14676.25</v>
      </c>
      <c r="I206" s="1">
        <v>293525</v>
      </c>
    </row>
    <row r="207" spans="1:9" x14ac:dyDescent="0.3">
      <c r="A207" s="1" t="s">
        <v>409</v>
      </c>
      <c r="B207" s="2">
        <v>46009</v>
      </c>
      <c r="D207" t="s">
        <v>62</v>
      </c>
      <c r="E207" s="1">
        <v>20</v>
      </c>
      <c r="F207" s="1">
        <v>15163</v>
      </c>
      <c r="I207" s="1">
        <v>303260</v>
      </c>
    </row>
    <row r="208" spans="1:9" x14ac:dyDescent="0.3">
      <c r="A208" s="1" t="s">
        <v>406</v>
      </c>
      <c r="B208" s="2">
        <v>46013</v>
      </c>
      <c r="D208" t="s">
        <v>130</v>
      </c>
      <c r="E208" s="1">
        <v>50</v>
      </c>
      <c r="F208" s="1">
        <v>9100.75</v>
      </c>
      <c r="I208" s="1">
        <v>455037.5</v>
      </c>
    </row>
    <row r="209" spans="1:9" x14ac:dyDescent="0.3">
      <c r="A209" s="1" t="s">
        <v>406</v>
      </c>
      <c r="B209" s="2">
        <v>46013</v>
      </c>
      <c r="D209" t="s">
        <v>236</v>
      </c>
      <c r="E209" s="1">
        <v>50</v>
      </c>
      <c r="F209" s="1">
        <v>9735</v>
      </c>
      <c r="I209" s="1">
        <v>486750</v>
      </c>
    </row>
    <row r="210" spans="1:9" x14ac:dyDescent="0.3">
      <c r="A210" s="1" t="s">
        <v>406</v>
      </c>
      <c r="B210" s="2">
        <v>46013</v>
      </c>
      <c r="D210" t="s">
        <v>172</v>
      </c>
      <c r="E210" s="1">
        <v>20</v>
      </c>
      <c r="F210" s="1">
        <v>15163</v>
      </c>
      <c r="I210" s="1">
        <v>303260</v>
      </c>
    </row>
    <row r="211" spans="1:9" x14ac:dyDescent="0.3">
      <c r="A211" s="1" t="s">
        <v>406</v>
      </c>
      <c r="B211" s="2">
        <v>46013</v>
      </c>
      <c r="D211" t="s">
        <v>172</v>
      </c>
      <c r="E211" s="1">
        <v>25</v>
      </c>
      <c r="F211" s="1">
        <v>14027.25</v>
      </c>
      <c r="I211" s="1">
        <v>350681.25</v>
      </c>
    </row>
    <row r="212" spans="1:9" x14ac:dyDescent="0.3">
      <c r="A212" s="1" t="s">
        <v>410</v>
      </c>
      <c r="B212" s="2">
        <v>46020</v>
      </c>
      <c r="D212" t="s">
        <v>425</v>
      </c>
      <c r="E212" s="1">
        <v>50</v>
      </c>
      <c r="F212" s="1">
        <v>9735</v>
      </c>
      <c r="I212" s="1">
        <v>486750</v>
      </c>
    </row>
    <row r="213" spans="1:9" x14ac:dyDescent="0.3">
      <c r="A213" s="1" t="s">
        <v>410</v>
      </c>
      <c r="B213" s="2">
        <v>46020</v>
      </c>
      <c r="D213" t="s">
        <v>425</v>
      </c>
      <c r="E213" s="1">
        <v>20</v>
      </c>
      <c r="F213" s="1">
        <v>15163</v>
      </c>
      <c r="I213" s="1">
        <v>303260</v>
      </c>
    </row>
    <row r="214" spans="1:9" x14ac:dyDescent="0.3">
      <c r="A214" s="1" t="s">
        <v>410</v>
      </c>
      <c r="B214" s="2">
        <v>46020</v>
      </c>
      <c r="D214" t="s">
        <v>426</v>
      </c>
      <c r="E214" s="1">
        <v>25</v>
      </c>
      <c r="F214" s="1">
        <v>14027.25</v>
      </c>
      <c r="I214" s="1">
        <v>350681.25</v>
      </c>
    </row>
    <row r="215" spans="1:9" x14ac:dyDescent="0.3">
      <c r="A215" s="1" t="s">
        <v>411</v>
      </c>
      <c r="B215" s="2">
        <v>46021</v>
      </c>
      <c r="D215" t="s">
        <v>427</v>
      </c>
      <c r="E215" s="1">
        <v>75</v>
      </c>
      <c r="F215" s="1">
        <v>9735</v>
      </c>
      <c r="I215" s="1">
        <v>730125</v>
      </c>
    </row>
    <row r="216" spans="1:9" x14ac:dyDescent="0.3">
      <c r="A216" s="1" t="s">
        <v>411</v>
      </c>
      <c r="B216" s="2">
        <v>46021</v>
      </c>
      <c r="D216" t="s">
        <v>428</v>
      </c>
      <c r="E216" s="1">
        <v>25</v>
      </c>
      <c r="F216" s="1">
        <v>14602.5</v>
      </c>
      <c r="I216" s="1">
        <v>365062.5</v>
      </c>
    </row>
  </sheetData>
  <autoFilter ref="A1:I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3"/>
  <sheetViews>
    <sheetView tabSelected="1" workbookViewId="0">
      <selection activeCell="L13" sqref="L13"/>
    </sheetView>
  </sheetViews>
  <sheetFormatPr baseColWidth="10" defaultRowHeight="14.4" x14ac:dyDescent="0.3"/>
  <cols>
    <col min="1" max="1" width="24.21875" customWidth="1"/>
    <col min="2" max="2" width="12" customWidth="1"/>
    <col min="3" max="3" width="35.5546875" customWidth="1"/>
    <col min="4" max="4" width="36.109375" customWidth="1"/>
    <col min="6" max="6" width="20.109375" customWidth="1"/>
    <col min="8" max="8" width="27.88671875" customWidth="1"/>
    <col min="9" max="9" width="14.88671875" bestFit="1" customWidth="1"/>
  </cols>
  <sheetData>
    <row r="1" spans="1:9" x14ac:dyDescent="0.3">
      <c r="A1" s="1" t="s">
        <v>0</v>
      </c>
      <c r="B1" s="1" t="s">
        <v>1</v>
      </c>
      <c r="C1" s="1" t="s">
        <v>10</v>
      </c>
      <c r="D1" s="1" t="s">
        <v>17</v>
      </c>
      <c r="E1" s="1" t="s">
        <v>18</v>
      </c>
      <c r="F1" s="1" t="s">
        <v>19</v>
      </c>
      <c r="G1" s="1" t="s">
        <v>6</v>
      </c>
      <c r="H1" s="1" t="s">
        <v>20</v>
      </c>
      <c r="I1" s="1" t="s">
        <v>4</v>
      </c>
    </row>
    <row r="2" spans="1:9" x14ac:dyDescent="0.3">
      <c r="A2" s="1" t="s">
        <v>24</v>
      </c>
      <c r="B2" s="2">
        <v>45660</v>
      </c>
      <c r="C2" s="1"/>
      <c r="D2" s="1" t="s">
        <v>30</v>
      </c>
      <c r="E2" s="1">
        <v>50</v>
      </c>
      <c r="F2" s="1">
        <v>7367.5</v>
      </c>
      <c r="G2" s="1">
        <v>21</v>
      </c>
      <c r="H2" s="1">
        <v>8914.6749999999993</v>
      </c>
      <c r="I2" s="1">
        <v>368375</v>
      </c>
    </row>
    <row r="3" spans="1:9" x14ac:dyDescent="0.3">
      <c r="A3" s="1" t="s">
        <v>24</v>
      </c>
      <c r="B3" s="2">
        <v>45660</v>
      </c>
      <c r="C3" s="1"/>
      <c r="D3" s="1" t="s">
        <v>32</v>
      </c>
      <c r="E3" s="1">
        <v>25</v>
      </c>
      <c r="F3" s="1">
        <v>8420</v>
      </c>
      <c r="G3" s="1">
        <v>21</v>
      </c>
      <c r="H3" s="1">
        <v>10188.200000000001</v>
      </c>
      <c r="I3" s="1">
        <v>210500</v>
      </c>
    </row>
    <row r="4" spans="1:9" x14ac:dyDescent="0.3">
      <c r="A4" s="1" t="s">
        <v>24</v>
      </c>
      <c r="B4" s="2">
        <v>45660</v>
      </c>
      <c r="C4" s="1"/>
      <c r="D4" s="1" t="s">
        <v>34</v>
      </c>
      <c r="E4" s="1">
        <v>25</v>
      </c>
      <c r="F4" s="1">
        <v>9156.75</v>
      </c>
      <c r="G4" s="1">
        <v>21</v>
      </c>
      <c r="H4" s="1">
        <v>11079.6675</v>
      </c>
      <c r="I4" s="1">
        <v>228918.75</v>
      </c>
    </row>
    <row r="5" spans="1:9" x14ac:dyDescent="0.3">
      <c r="A5" s="1" t="s">
        <v>43</v>
      </c>
      <c r="B5" s="2">
        <v>45664</v>
      </c>
      <c r="C5" s="1"/>
      <c r="D5" s="1" t="s">
        <v>30</v>
      </c>
      <c r="E5" s="1">
        <v>75</v>
      </c>
      <c r="F5" s="1">
        <v>7385</v>
      </c>
      <c r="G5" s="1">
        <v>21</v>
      </c>
      <c r="H5" s="1">
        <v>8935.85</v>
      </c>
      <c r="I5" s="1">
        <v>553875</v>
      </c>
    </row>
    <row r="6" spans="1:9" x14ac:dyDescent="0.3">
      <c r="A6" s="1" t="s">
        <v>44</v>
      </c>
      <c r="B6" s="2">
        <v>45664</v>
      </c>
      <c r="C6" s="1"/>
      <c r="D6" s="1" t="s">
        <v>30</v>
      </c>
      <c r="E6" s="1">
        <v>50</v>
      </c>
      <c r="F6" s="1">
        <v>7385</v>
      </c>
      <c r="G6" s="1">
        <v>21</v>
      </c>
      <c r="H6" s="1">
        <v>8935.85</v>
      </c>
      <c r="I6" s="1">
        <v>369250</v>
      </c>
    </row>
    <row r="7" spans="1:9" x14ac:dyDescent="0.3">
      <c r="A7" s="1" t="s">
        <v>44</v>
      </c>
      <c r="B7" s="2">
        <v>45664</v>
      </c>
      <c r="C7" s="1"/>
      <c r="D7" s="1" t="s">
        <v>32</v>
      </c>
      <c r="E7" s="1">
        <v>25</v>
      </c>
      <c r="F7" s="1">
        <v>8440</v>
      </c>
      <c r="G7" s="1">
        <v>21</v>
      </c>
      <c r="H7" s="1">
        <v>10212.4</v>
      </c>
      <c r="I7" s="1">
        <v>211000</v>
      </c>
    </row>
    <row r="8" spans="1:9" x14ac:dyDescent="0.3">
      <c r="A8" s="1" t="s">
        <v>45</v>
      </c>
      <c r="B8" s="2">
        <v>45665</v>
      </c>
      <c r="C8" s="1"/>
      <c r="D8" s="1" t="s">
        <v>47</v>
      </c>
      <c r="E8" s="1">
        <v>25</v>
      </c>
      <c r="F8" s="1">
        <v>6512.44</v>
      </c>
      <c r="G8" s="1">
        <v>21</v>
      </c>
      <c r="H8" s="1">
        <v>7880.0523999999996</v>
      </c>
      <c r="I8" s="1">
        <v>162811</v>
      </c>
    </row>
    <row r="9" spans="1:9" x14ac:dyDescent="0.3">
      <c r="A9" s="1" t="s">
        <v>45</v>
      </c>
      <c r="B9" s="2">
        <v>45665</v>
      </c>
      <c r="C9" s="1"/>
      <c r="D9" s="1" t="s">
        <v>32</v>
      </c>
      <c r="E9" s="1">
        <v>25</v>
      </c>
      <c r="F9" s="1">
        <v>8444</v>
      </c>
      <c r="G9" s="1">
        <v>21</v>
      </c>
      <c r="H9" s="1">
        <v>10217.24</v>
      </c>
      <c r="I9" s="1">
        <v>211100</v>
      </c>
    </row>
    <row r="10" spans="1:9" x14ac:dyDescent="0.3">
      <c r="A10" s="1" t="s">
        <v>48</v>
      </c>
      <c r="B10" s="2">
        <v>45666</v>
      </c>
      <c r="C10" s="1"/>
      <c r="D10" s="1" t="s">
        <v>50</v>
      </c>
      <c r="E10" s="1">
        <v>20</v>
      </c>
      <c r="F10" s="1">
        <v>10507.2</v>
      </c>
      <c r="G10" s="1">
        <v>21</v>
      </c>
      <c r="H10" s="1">
        <v>12713.712</v>
      </c>
      <c r="I10" s="1">
        <v>210144</v>
      </c>
    </row>
    <row r="11" spans="1:9" x14ac:dyDescent="0.3">
      <c r="A11" s="1" t="s">
        <v>51</v>
      </c>
      <c r="B11" s="2">
        <v>45670</v>
      </c>
      <c r="C11" s="1"/>
      <c r="D11" s="1" t="s">
        <v>50</v>
      </c>
      <c r="E11" s="1">
        <v>20</v>
      </c>
      <c r="F11" s="1">
        <v>10537.05</v>
      </c>
      <c r="G11" s="1">
        <v>21</v>
      </c>
      <c r="H11" s="1">
        <v>12749.8305</v>
      </c>
      <c r="I11" s="1">
        <v>210741</v>
      </c>
    </row>
    <row r="12" spans="1:9" x14ac:dyDescent="0.3">
      <c r="A12" s="1" t="s">
        <v>57</v>
      </c>
      <c r="B12" s="2">
        <v>45672</v>
      </c>
      <c r="C12" s="1"/>
      <c r="D12" s="1" t="s">
        <v>30</v>
      </c>
      <c r="E12" s="1">
        <v>75</v>
      </c>
      <c r="F12" s="1">
        <v>7423.5</v>
      </c>
      <c r="G12" s="1">
        <v>21</v>
      </c>
      <c r="H12" s="1">
        <v>8982.4349999999995</v>
      </c>
      <c r="I12" s="1">
        <v>556762.5</v>
      </c>
    </row>
    <row r="13" spans="1:9" x14ac:dyDescent="0.3">
      <c r="A13" s="1" t="s">
        <v>57</v>
      </c>
      <c r="B13" s="2">
        <v>45672</v>
      </c>
      <c r="C13" s="1"/>
      <c r="D13" s="1" t="s">
        <v>50</v>
      </c>
      <c r="E13" s="1">
        <v>20</v>
      </c>
      <c r="F13" s="1">
        <v>10551.98</v>
      </c>
      <c r="G13" s="1">
        <v>21</v>
      </c>
      <c r="H13" s="1">
        <v>12767.8958</v>
      </c>
      <c r="I13" s="1">
        <v>211039.6</v>
      </c>
    </row>
    <row r="14" spans="1:9" x14ac:dyDescent="0.3">
      <c r="A14" s="1" t="s">
        <v>57</v>
      </c>
      <c r="B14" s="2">
        <v>45672</v>
      </c>
      <c r="C14" s="1"/>
      <c r="D14" s="1" t="s">
        <v>59</v>
      </c>
      <c r="E14" s="1">
        <v>20</v>
      </c>
      <c r="F14" s="1">
        <v>10901.94</v>
      </c>
      <c r="G14" s="1">
        <v>21</v>
      </c>
      <c r="H14" s="1">
        <v>13191.347400000001</v>
      </c>
      <c r="I14" s="1">
        <v>218038.8</v>
      </c>
    </row>
    <row r="15" spans="1:9" x14ac:dyDescent="0.3">
      <c r="A15" s="1" t="s">
        <v>60</v>
      </c>
      <c r="B15" s="2">
        <v>45673</v>
      </c>
      <c r="C15" s="1"/>
      <c r="D15" s="1" t="s">
        <v>47</v>
      </c>
      <c r="E15" s="1">
        <v>25</v>
      </c>
      <c r="F15" s="1">
        <v>6549.46</v>
      </c>
      <c r="G15" s="1">
        <v>21</v>
      </c>
      <c r="H15" s="1">
        <v>7924.8465999999999</v>
      </c>
      <c r="I15" s="1">
        <v>163736.5</v>
      </c>
    </row>
    <row r="16" spans="1:9" x14ac:dyDescent="0.3">
      <c r="A16" s="1" t="s">
        <v>60</v>
      </c>
      <c r="B16" s="2">
        <v>45673</v>
      </c>
      <c r="C16" s="1"/>
      <c r="D16" s="1" t="s">
        <v>62</v>
      </c>
      <c r="E16" s="1">
        <v>25</v>
      </c>
      <c r="F16" s="1">
        <v>6857.29</v>
      </c>
      <c r="G16" s="1">
        <v>21</v>
      </c>
      <c r="H16" s="1">
        <v>8297.3209000000006</v>
      </c>
      <c r="I16" s="1">
        <v>171432.25</v>
      </c>
    </row>
    <row r="17" spans="1:9" x14ac:dyDescent="0.3">
      <c r="A17" s="1" t="s">
        <v>63</v>
      </c>
      <c r="B17" s="2">
        <v>45679</v>
      </c>
      <c r="C17" s="1"/>
      <c r="D17" s="1" t="s">
        <v>47</v>
      </c>
      <c r="E17" s="1">
        <v>25</v>
      </c>
      <c r="F17" s="1">
        <v>6580.31</v>
      </c>
      <c r="G17" s="1">
        <v>21</v>
      </c>
      <c r="H17" s="1">
        <v>7962.1751000000004</v>
      </c>
      <c r="I17" s="1">
        <v>164507.75</v>
      </c>
    </row>
    <row r="18" spans="1:9" x14ac:dyDescent="0.3">
      <c r="A18" s="1" t="s">
        <v>63</v>
      </c>
      <c r="B18" s="2">
        <v>45679</v>
      </c>
      <c r="C18" s="1"/>
      <c r="D18" s="1" t="s">
        <v>30</v>
      </c>
      <c r="E18" s="1">
        <v>75</v>
      </c>
      <c r="F18" s="1">
        <v>7465.5</v>
      </c>
      <c r="G18" s="1">
        <v>21</v>
      </c>
      <c r="H18" s="1">
        <v>9033.2549999999992</v>
      </c>
      <c r="I18" s="1">
        <v>559912.5</v>
      </c>
    </row>
    <row r="19" spans="1:9" x14ac:dyDescent="0.3">
      <c r="A19" s="1" t="s">
        <v>67</v>
      </c>
      <c r="B19" s="2">
        <v>45684</v>
      </c>
      <c r="C19" s="1"/>
      <c r="D19" s="1" t="s">
        <v>50</v>
      </c>
      <c r="E19" s="1">
        <v>20</v>
      </c>
      <c r="F19" s="1">
        <v>10636.55</v>
      </c>
      <c r="G19" s="1">
        <v>21</v>
      </c>
      <c r="H19" s="1">
        <v>12870.2255</v>
      </c>
      <c r="I19" s="1">
        <v>212731</v>
      </c>
    </row>
    <row r="20" spans="1:9" x14ac:dyDescent="0.3">
      <c r="A20" s="1" t="s">
        <v>67</v>
      </c>
      <c r="B20" s="2">
        <v>45684</v>
      </c>
      <c r="C20" s="1"/>
      <c r="D20" s="1" t="s">
        <v>59</v>
      </c>
      <c r="E20" s="1">
        <v>20</v>
      </c>
      <c r="F20" s="1">
        <v>10989.32</v>
      </c>
      <c r="G20" s="1">
        <v>21</v>
      </c>
      <c r="H20" s="1">
        <v>13297.0772</v>
      </c>
      <c r="I20" s="1">
        <v>219786.4</v>
      </c>
    </row>
    <row r="21" spans="1:9" x14ac:dyDescent="0.3">
      <c r="A21" s="1" t="s">
        <v>67</v>
      </c>
      <c r="B21" s="2">
        <v>45684</v>
      </c>
      <c r="C21" s="1"/>
      <c r="D21" s="1" t="s">
        <v>32</v>
      </c>
      <c r="E21" s="1">
        <v>50</v>
      </c>
      <c r="F21" s="1">
        <v>8552</v>
      </c>
      <c r="G21" s="1">
        <v>21</v>
      </c>
      <c r="H21" s="1">
        <v>10347.92</v>
      </c>
      <c r="I21" s="1">
        <v>427600</v>
      </c>
    </row>
    <row r="22" spans="1:9" x14ac:dyDescent="0.3">
      <c r="A22" s="1" t="s">
        <v>68</v>
      </c>
      <c r="B22" s="2">
        <v>45685</v>
      </c>
      <c r="C22" s="1"/>
      <c r="D22" s="1" t="s">
        <v>47</v>
      </c>
      <c r="E22" s="1">
        <v>50</v>
      </c>
      <c r="F22" s="1">
        <v>6601.9</v>
      </c>
      <c r="G22" s="1">
        <v>21</v>
      </c>
      <c r="H22" s="1">
        <v>7988.299</v>
      </c>
      <c r="I22" s="1">
        <v>330095</v>
      </c>
    </row>
    <row r="23" spans="1:9" x14ac:dyDescent="0.3">
      <c r="A23" s="1" t="s">
        <v>68</v>
      </c>
      <c r="B23" s="2">
        <v>45685</v>
      </c>
      <c r="C23" s="1"/>
      <c r="D23" s="1" t="s">
        <v>30</v>
      </c>
      <c r="E23" s="1">
        <v>50</v>
      </c>
      <c r="F23" s="1">
        <v>7490</v>
      </c>
      <c r="G23" s="1">
        <v>21</v>
      </c>
      <c r="H23" s="1">
        <v>9062.9</v>
      </c>
      <c r="I23" s="1">
        <v>374500</v>
      </c>
    </row>
    <row r="24" spans="1:9" x14ac:dyDescent="0.3">
      <c r="A24" s="1" t="s">
        <v>69</v>
      </c>
      <c r="B24" s="2">
        <v>45686</v>
      </c>
      <c r="C24" s="1"/>
      <c r="D24" s="1" t="s">
        <v>30</v>
      </c>
      <c r="E24" s="1">
        <v>50</v>
      </c>
      <c r="F24" s="1">
        <v>7493.5</v>
      </c>
      <c r="G24" s="1">
        <v>21</v>
      </c>
      <c r="H24" s="1">
        <v>9067.1350000000002</v>
      </c>
      <c r="I24" s="1">
        <v>374675</v>
      </c>
    </row>
    <row r="25" spans="1:9" x14ac:dyDescent="0.3">
      <c r="A25" s="1" t="s">
        <v>69</v>
      </c>
      <c r="B25" s="2">
        <v>45686</v>
      </c>
      <c r="C25" s="1"/>
      <c r="D25" s="1" t="s">
        <v>32</v>
      </c>
      <c r="E25" s="1">
        <v>25</v>
      </c>
      <c r="F25" s="1">
        <v>8564</v>
      </c>
      <c r="G25" s="1">
        <v>21</v>
      </c>
      <c r="H25" s="1">
        <v>10362.44</v>
      </c>
      <c r="I25" s="1">
        <v>214100</v>
      </c>
    </row>
    <row r="26" spans="1:9" x14ac:dyDescent="0.3">
      <c r="A26" s="1" t="s">
        <v>73</v>
      </c>
      <c r="B26" s="2">
        <v>45687</v>
      </c>
      <c r="C26" s="1"/>
      <c r="D26" s="1" t="s">
        <v>50</v>
      </c>
      <c r="E26" s="1">
        <v>20</v>
      </c>
      <c r="F26" s="1">
        <v>10656.45</v>
      </c>
      <c r="G26" s="1">
        <v>21</v>
      </c>
      <c r="H26" s="1">
        <v>12894.3045</v>
      </c>
      <c r="I26" s="1">
        <v>213129</v>
      </c>
    </row>
    <row r="27" spans="1:9" x14ac:dyDescent="0.3">
      <c r="A27" s="1" t="s">
        <v>74</v>
      </c>
      <c r="B27" s="2">
        <v>45687</v>
      </c>
      <c r="C27" s="1"/>
      <c r="D27" s="1" t="s">
        <v>76</v>
      </c>
      <c r="E27" s="1">
        <v>20</v>
      </c>
      <c r="F27" s="1">
        <v>19952.73</v>
      </c>
      <c r="G27" s="1">
        <v>21</v>
      </c>
      <c r="H27" s="1">
        <v>24142.8033</v>
      </c>
      <c r="I27" s="1">
        <v>399054.6</v>
      </c>
    </row>
    <row r="28" spans="1:9" x14ac:dyDescent="0.3">
      <c r="A28" s="1" t="s">
        <v>74</v>
      </c>
      <c r="B28" s="2">
        <v>45687</v>
      </c>
      <c r="C28" s="1"/>
      <c r="D28" s="1" t="s">
        <v>78</v>
      </c>
      <c r="E28" s="1">
        <v>25</v>
      </c>
      <c r="F28" s="1">
        <v>10859.94</v>
      </c>
      <c r="G28" s="1">
        <v>21</v>
      </c>
      <c r="H28" s="1">
        <v>13140.527400000001</v>
      </c>
      <c r="I28" s="1">
        <v>271498.5</v>
      </c>
    </row>
    <row r="29" spans="1:9" x14ac:dyDescent="0.3">
      <c r="A29" s="1" t="s">
        <v>79</v>
      </c>
      <c r="B29" s="2">
        <v>45688</v>
      </c>
      <c r="C29" s="1"/>
      <c r="D29" s="1" t="s">
        <v>30</v>
      </c>
      <c r="E29" s="1">
        <v>50</v>
      </c>
      <c r="F29" s="1">
        <v>7504</v>
      </c>
      <c r="G29" s="1">
        <v>21</v>
      </c>
      <c r="H29" s="1">
        <v>9079.84</v>
      </c>
      <c r="I29" s="1">
        <v>375200</v>
      </c>
    </row>
    <row r="30" spans="1:9" x14ac:dyDescent="0.3">
      <c r="A30" s="1" t="s">
        <v>80</v>
      </c>
      <c r="B30" s="2">
        <v>45688</v>
      </c>
      <c r="C30" s="1"/>
      <c r="D30" s="1" t="s">
        <v>47</v>
      </c>
      <c r="E30" s="1">
        <v>50</v>
      </c>
      <c r="F30" s="1">
        <v>6614.24</v>
      </c>
      <c r="G30" s="1">
        <v>21</v>
      </c>
      <c r="H30" s="1">
        <v>8003.2304000000004</v>
      </c>
      <c r="I30" s="1">
        <v>330712</v>
      </c>
    </row>
    <row r="31" spans="1:9" x14ac:dyDescent="0.3">
      <c r="A31" s="1" t="s">
        <v>80</v>
      </c>
      <c r="B31" s="2">
        <v>45688</v>
      </c>
      <c r="C31" s="1"/>
      <c r="D31" s="1" t="s">
        <v>30</v>
      </c>
      <c r="E31" s="1">
        <v>50</v>
      </c>
      <c r="F31" s="1">
        <v>7504</v>
      </c>
      <c r="G31" s="1">
        <v>21</v>
      </c>
      <c r="H31" s="1">
        <v>9079.84</v>
      </c>
      <c r="I31" s="1">
        <v>375200</v>
      </c>
    </row>
    <row r="32" spans="1:9" x14ac:dyDescent="0.3">
      <c r="A32" s="1" t="s">
        <v>80</v>
      </c>
      <c r="B32" s="2">
        <v>45688</v>
      </c>
      <c r="C32" s="1"/>
      <c r="D32" s="1" t="s">
        <v>59</v>
      </c>
      <c r="E32" s="1">
        <v>20</v>
      </c>
      <c r="F32" s="1">
        <v>11020.16</v>
      </c>
      <c r="G32" s="1">
        <v>21</v>
      </c>
      <c r="H32" s="1">
        <v>13334.393599999999</v>
      </c>
      <c r="I32" s="1">
        <v>220403.20000000001</v>
      </c>
    </row>
    <row r="33" spans="1:11" x14ac:dyDescent="0.3">
      <c r="A33" s="1" t="s">
        <v>80</v>
      </c>
      <c r="B33" s="2">
        <v>45688</v>
      </c>
      <c r="C33" s="1"/>
      <c r="D33" s="1" t="s">
        <v>62</v>
      </c>
      <c r="E33" s="1">
        <v>25</v>
      </c>
      <c r="F33" s="1">
        <v>6925.12</v>
      </c>
      <c r="G33" s="1">
        <v>21</v>
      </c>
      <c r="H33" s="1">
        <v>8379.3952000000008</v>
      </c>
      <c r="I33" s="1">
        <v>173128</v>
      </c>
      <c r="K33">
        <f>SUM(I2:I33)</f>
        <v>9293957.3499999996</v>
      </c>
    </row>
    <row r="34" spans="1:11" x14ac:dyDescent="0.3">
      <c r="A34" s="1" t="s">
        <v>81</v>
      </c>
      <c r="B34" s="2">
        <v>45693</v>
      </c>
      <c r="C34" s="1"/>
      <c r="D34" s="1" t="s">
        <v>30</v>
      </c>
      <c r="E34" s="1">
        <v>100</v>
      </c>
      <c r="F34" s="1">
        <v>8058.75</v>
      </c>
      <c r="G34" s="1">
        <v>21</v>
      </c>
      <c r="H34" s="1">
        <v>9751.0874999999996</v>
      </c>
      <c r="I34" s="1">
        <v>805875</v>
      </c>
    </row>
    <row r="35" spans="1:11" x14ac:dyDescent="0.3">
      <c r="A35" s="1" t="s">
        <v>82</v>
      </c>
      <c r="B35" s="2">
        <v>45698</v>
      </c>
      <c r="C35" s="1"/>
      <c r="D35" s="1" t="s">
        <v>30</v>
      </c>
      <c r="E35" s="1">
        <v>100</v>
      </c>
      <c r="F35" s="1">
        <v>7530.25</v>
      </c>
      <c r="G35" s="1">
        <v>21</v>
      </c>
      <c r="H35" s="1">
        <v>9111.6025000000009</v>
      </c>
      <c r="I35" s="1">
        <v>753025</v>
      </c>
    </row>
    <row r="36" spans="1:11" x14ac:dyDescent="0.3">
      <c r="A36" s="1" t="s">
        <v>82</v>
      </c>
      <c r="B36" s="2">
        <v>45698</v>
      </c>
      <c r="C36" s="1"/>
      <c r="D36" s="1" t="s">
        <v>84</v>
      </c>
      <c r="E36" s="1">
        <v>50</v>
      </c>
      <c r="F36" s="1">
        <v>8756.61</v>
      </c>
      <c r="G36" s="1">
        <v>21</v>
      </c>
      <c r="H36" s="1">
        <v>10595.498100000001</v>
      </c>
      <c r="I36" s="1">
        <v>437830.5</v>
      </c>
    </row>
    <row r="37" spans="1:11" x14ac:dyDescent="0.3">
      <c r="A37" s="1" t="s">
        <v>85</v>
      </c>
      <c r="B37" s="2">
        <v>45699</v>
      </c>
      <c r="C37" s="1"/>
      <c r="D37" s="1" t="s">
        <v>50</v>
      </c>
      <c r="E37" s="1">
        <v>20</v>
      </c>
      <c r="F37" s="1">
        <v>10706.2</v>
      </c>
      <c r="G37" s="1">
        <v>21</v>
      </c>
      <c r="H37" s="1">
        <v>12954.502</v>
      </c>
      <c r="I37" s="1">
        <v>214124</v>
      </c>
    </row>
    <row r="38" spans="1:11" x14ac:dyDescent="0.3">
      <c r="A38" s="1" t="s">
        <v>86</v>
      </c>
      <c r="B38" s="2">
        <v>45700</v>
      </c>
      <c r="C38" s="1"/>
      <c r="D38" s="1" t="s">
        <v>30</v>
      </c>
      <c r="E38" s="1">
        <v>100</v>
      </c>
      <c r="F38" s="1">
        <v>7532</v>
      </c>
      <c r="G38" s="1">
        <v>21</v>
      </c>
      <c r="H38" s="1">
        <v>9113.7199999999993</v>
      </c>
      <c r="I38" s="1">
        <v>753200</v>
      </c>
    </row>
    <row r="39" spans="1:11" x14ac:dyDescent="0.3">
      <c r="A39" s="1" t="s">
        <v>87</v>
      </c>
      <c r="B39" s="2">
        <v>45701</v>
      </c>
      <c r="C39" s="1"/>
      <c r="D39" s="1" t="s">
        <v>62</v>
      </c>
      <c r="E39" s="1">
        <v>25</v>
      </c>
      <c r="F39" s="1">
        <v>6952.58</v>
      </c>
      <c r="G39" s="1">
        <v>21</v>
      </c>
      <c r="H39" s="1">
        <v>8412.6218000000008</v>
      </c>
      <c r="I39" s="1">
        <v>173814.5</v>
      </c>
    </row>
    <row r="40" spans="1:11" x14ac:dyDescent="0.3">
      <c r="A40" s="1" t="s">
        <v>88</v>
      </c>
      <c r="B40" s="2">
        <v>45706</v>
      </c>
      <c r="C40" s="1"/>
      <c r="D40" s="1" t="s">
        <v>30</v>
      </c>
      <c r="E40" s="1">
        <v>100</v>
      </c>
      <c r="F40" s="1">
        <v>7551.25</v>
      </c>
      <c r="G40" s="1">
        <v>21</v>
      </c>
      <c r="H40" s="1">
        <v>9137.0125000000007</v>
      </c>
      <c r="I40" s="1">
        <v>755125</v>
      </c>
    </row>
    <row r="41" spans="1:11" x14ac:dyDescent="0.3">
      <c r="A41" s="1" t="s">
        <v>89</v>
      </c>
      <c r="B41" s="2">
        <v>45709</v>
      </c>
      <c r="C41" s="1" t="s">
        <v>90</v>
      </c>
      <c r="D41" s="1" t="s">
        <v>84</v>
      </c>
      <c r="E41" s="1">
        <v>-25</v>
      </c>
      <c r="F41" s="1">
        <v>8783.06</v>
      </c>
      <c r="G41" s="1">
        <v>21</v>
      </c>
      <c r="H41" s="1">
        <v>10627.5026</v>
      </c>
      <c r="I41" s="1">
        <v>-219576.5</v>
      </c>
    </row>
    <row r="42" spans="1:11" x14ac:dyDescent="0.3">
      <c r="A42" s="1" t="s">
        <v>91</v>
      </c>
      <c r="B42" s="2">
        <v>45708</v>
      </c>
      <c r="C42" s="1"/>
      <c r="D42" s="1" t="s">
        <v>30</v>
      </c>
      <c r="E42" s="1">
        <v>100</v>
      </c>
      <c r="F42" s="1">
        <v>7553</v>
      </c>
      <c r="G42" s="1">
        <v>21</v>
      </c>
      <c r="H42" s="1">
        <v>9139.1299999999992</v>
      </c>
      <c r="I42" s="1">
        <v>755300</v>
      </c>
    </row>
    <row r="43" spans="1:11" x14ac:dyDescent="0.3">
      <c r="A43" s="1" t="s">
        <v>92</v>
      </c>
      <c r="B43" s="2">
        <v>45708</v>
      </c>
      <c r="C43" s="1"/>
      <c r="D43" s="1" t="s">
        <v>84</v>
      </c>
      <c r="E43" s="1">
        <v>25</v>
      </c>
      <c r="F43" s="1">
        <v>8783.06</v>
      </c>
      <c r="G43" s="1">
        <v>21</v>
      </c>
      <c r="H43" s="1">
        <v>10627.5026</v>
      </c>
      <c r="I43" s="1">
        <v>219576.5</v>
      </c>
    </row>
    <row r="44" spans="1:11" x14ac:dyDescent="0.3">
      <c r="A44" s="1" t="s">
        <v>93</v>
      </c>
      <c r="B44" s="2">
        <v>45708</v>
      </c>
      <c r="C44" s="1"/>
      <c r="D44" s="1" t="s">
        <v>50</v>
      </c>
      <c r="E44" s="1">
        <v>20</v>
      </c>
      <c r="F44" s="1">
        <v>10736.05</v>
      </c>
      <c r="G44" s="1">
        <v>21</v>
      </c>
      <c r="H44" s="1">
        <v>12990.620500000001</v>
      </c>
      <c r="I44" s="1">
        <v>214721</v>
      </c>
    </row>
    <row r="45" spans="1:11" x14ac:dyDescent="0.3">
      <c r="A45" s="1" t="s">
        <v>93</v>
      </c>
      <c r="B45" s="2">
        <v>45708</v>
      </c>
      <c r="C45" s="1"/>
      <c r="D45" s="1" t="s">
        <v>59</v>
      </c>
      <c r="E45" s="1">
        <v>20</v>
      </c>
      <c r="F45" s="1">
        <v>11092.12</v>
      </c>
      <c r="G45" s="1">
        <v>21</v>
      </c>
      <c r="H45" s="1">
        <v>13421.465200000001</v>
      </c>
      <c r="I45" s="1">
        <v>221842.4</v>
      </c>
    </row>
    <row r="46" spans="1:11" x14ac:dyDescent="0.3">
      <c r="A46" s="1" t="s">
        <v>97</v>
      </c>
      <c r="B46" s="2">
        <v>45714</v>
      </c>
      <c r="C46" s="1"/>
      <c r="D46" s="1" t="s">
        <v>30</v>
      </c>
      <c r="E46" s="1">
        <v>100</v>
      </c>
      <c r="F46" s="1">
        <v>7567</v>
      </c>
      <c r="G46" s="1">
        <v>21</v>
      </c>
      <c r="H46" s="1">
        <v>9156.07</v>
      </c>
      <c r="I46" s="1">
        <v>756700</v>
      </c>
    </row>
    <row r="47" spans="1:11" x14ac:dyDescent="0.3">
      <c r="A47" s="1" t="s">
        <v>97</v>
      </c>
      <c r="B47" s="2">
        <v>45714</v>
      </c>
      <c r="C47" s="1"/>
      <c r="D47" s="1" t="s">
        <v>50</v>
      </c>
      <c r="E47" s="1">
        <v>20</v>
      </c>
      <c r="F47" s="1">
        <v>10755.95</v>
      </c>
      <c r="G47" s="1">
        <v>21</v>
      </c>
      <c r="H47" s="1">
        <v>13014.699500000001</v>
      </c>
      <c r="I47" s="1">
        <v>215119</v>
      </c>
    </row>
    <row r="48" spans="1:11" x14ac:dyDescent="0.3">
      <c r="A48" s="1" t="s">
        <v>97</v>
      </c>
      <c r="B48" s="2">
        <v>45714</v>
      </c>
      <c r="C48" s="1"/>
      <c r="D48" s="1" t="s">
        <v>62</v>
      </c>
      <c r="E48" s="1">
        <v>25</v>
      </c>
      <c r="F48" s="1">
        <v>6983.26</v>
      </c>
      <c r="G48" s="1">
        <v>21</v>
      </c>
      <c r="H48" s="1">
        <v>8449.7446</v>
      </c>
      <c r="I48" s="1">
        <v>174581.5</v>
      </c>
    </row>
    <row r="49" spans="1:11" x14ac:dyDescent="0.3">
      <c r="A49" s="1" t="s">
        <v>97</v>
      </c>
      <c r="B49" s="2">
        <v>45714</v>
      </c>
      <c r="C49" s="1"/>
      <c r="D49" s="1" t="s">
        <v>34</v>
      </c>
      <c r="E49" s="1">
        <v>25</v>
      </c>
      <c r="F49" s="1">
        <v>9404.7000000000007</v>
      </c>
      <c r="G49" s="1">
        <v>21</v>
      </c>
      <c r="H49" s="1">
        <v>11379.687</v>
      </c>
      <c r="I49" s="1">
        <v>235117.5</v>
      </c>
    </row>
    <row r="50" spans="1:11" x14ac:dyDescent="0.3">
      <c r="A50" s="1" t="s">
        <v>103</v>
      </c>
      <c r="B50" s="2">
        <v>45715</v>
      </c>
      <c r="C50" s="1"/>
      <c r="D50" s="1" t="s">
        <v>50</v>
      </c>
      <c r="E50" s="1">
        <v>20</v>
      </c>
      <c r="F50" s="1">
        <v>10758.44</v>
      </c>
      <c r="G50" s="1">
        <v>21</v>
      </c>
      <c r="H50" s="1">
        <v>13017.7124</v>
      </c>
      <c r="I50" s="1">
        <v>215168.8</v>
      </c>
    </row>
    <row r="51" spans="1:11" x14ac:dyDescent="0.3">
      <c r="A51" s="1" t="s">
        <v>103</v>
      </c>
      <c r="B51" s="2">
        <v>45715</v>
      </c>
      <c r="C51" s="1"/>
      <c r="D51" s="1" t="s">
        <v>59</v>
      </c>
      <c r="E51" s="1">
        <v>20</v>
      </c>
      <c r="F51" s="1">
        <v>11115.25</v>
      </c>
      <c r="G51" s="1">
        <v>21</v>
      </c>
      <c r="H51" s="1">
        <v>13449.452499999999</v>
      </c>
      <c r="I51" s="1">
        <v>222305</v>
      </c>
    </row>
    <row r="52" spans="1:11" x14ac:dyDescent="0.3">
      <c r="A52" s="1" t="s">
        <v>104</v>
      </c>
      <c r="B52" s="2">
        <v>45716</v>
      </c>
      <c r="C52" s="1"/>
      <c r="D52" s="1" t="s">
        <v>50</v>
      </c>
      <c r="E52" s="1">
        <v>20</v>
      </c>
      <c r="F52" s="1">
        <v>10763.41</v>
      </c>
      <c r="G52" s="1">
        <v>21</v>
      </c>
      <c r="H52" s="1">
        <v>13023.7261</v>
      </c>
      <c r="I52" s="1">
        <v>215268.2</v>
      </c>
      <c r="K52">
        <f>SUM(I34:I53)</f>
        <v>7498604.9000000004</v>
      </c>
    </row>
    <row r="53" spans="1:11" x14ac:dyDescent="0.3">
      <c r="A53" s="1" t="s">
        <v>105</v>
      </c>
      <c r="B53" s="2">
        <v>45721</v>
      </c>
      <c r="C53" s="1"/>
      <c r="D53" s="1" t="s">
        <v>30</v>
      </c>
      <c r="E53" s="1">
        <v>50</v>
      </c>
      <c r="F53" s="1">
        <v>7589.75</v>
      </c>
      <c r="G53" s="1">
        <v>21</v>
      </c>
      <c r="H53" s="1">
        <v>9183.5974999999999</v>
      </c>
      <c r="I53" s="1">
        <v>379487.5</v>
      </c>
    </row>
    <row r="54" spans="1:11" x14ac:dyDescent="0.3">
      <c r="A54" s="1" t="s">
        <v>106</v>
      </c>
      <c r="B54" s="2">
        <v>45722</v>
      </c>
      <c r="C54" s="1"/>
      <c r="D54" s="1" t="s">
        <v>30</v>
      </c>
      <c r="E54" s="1">
        <v>25</v>
      </c>
      <c r="F54" s="1">
        <v>7591.5</v>
      </c>
      <c r="G54" s="1">
        <v>21</v>
      </c>
      <c r="H54" s="1">
        <v>9185.7150000000001</v>
      </c>
      <c r="I54" s="1">
        <v>189787.5</v>
      </c>
    </row>
    <row r="55" spans="1:11" x14ac:dyDescent="0.3">
      <c r="A55" s="1" t="s">
        <v>106</v>
      </c>
      <c r="B55" s="2">
        <v>45722</v>
      </c>
      <c r="C55" s="1"/>
      <c r="D55" s="1" t="s">
        <v>50</v>
      </c>
      <c r="E55" s="1">
        <v>40</v>
      </c>
      <c r="F55" s="1">
        <v>10790.78</v>
      </c>
      <c r="G55" s="1">
        <v>21</v>
      </c>
      <c r="H55" s="1">
        <v>13056.843800000001</v>
      </c>
      <c r="I55" s="1">
        <v>431631.2</v>
      </c>
    </row>
    <row r="56" spans="1:11" x14ac:dyDescent="0.3">
      <c r="A56" s="1" t="s">
        <v>106</v>
      </c>
      <c r="B56" s="2">
        <v>45722</v>
      </c>
      <c r="C56" s="1"/>
      <c r="D56" s="1" t="s">
        <v>59</v>
      </c>
      <c r="E56" s="1">
        <v>20</v>
      </c>
      <c r="F56" s="1">
        <v>11148.66</v>
      </c>
      <c r="G56" s="1">
        <v>21</v>
      </c>
      <c r="H56" s="1">
        <v>13489.8786</v>
      </c>
      <c r="I56" s="1">
        <v>222973.2</v>
      </c>
    </row>
    <row r="57" spans="1:11" x14ac:dyDescent="0.3">
      <c r="A57" s="1" t="s">
        <v>107</v>
      </c>
      <c r="B57" s="2">
        <v>45723</v>
      </c>
      <c r="C57" s="1"/>
      <c r="D57" s="1" t="s">
        <v>47</v>
      </c>
      <c r="E57" s="1">
        <v>50</v>
      </c>
      <c r="F57" s="1">
        <v>6691.37</v>
      </c>
      <c r="G57" s="1">
        <v>21</v>
      </c>
      <c r="H57" s="1">
        <v>8096.5577000000003</v>
      </c>
      <c r="I57" s="1">
        <v>334568.5</v>
      </c>
    </row>
    <row r="58" spans="1:11" x14ac:dyDescent="0.3">
      <c r="A58" s="1" t="s">
        <v>108</v>
      </c>
      <c r="B58" s="2">
        <v>45726</v>
      </c>
      <c r="C58" s="1"/>
      <c r="D58" s="1" t="s">
        <v>47</v>
      </c>
      <c r="E58" s="1">
        <v>75</v>
      </c>
      <c r="F58" s="1">
        <v>6700.62</v>
      </c>
      <c r="G58" s="1">
        <v>21</v>
      </c>
      <c r="H58" s="1">
        <v>8107.7502000000004</v>
      </c>
      <c r="I58" s="1">
        <v>502546.5</v>
      </c>
    </row>
    <row r="59" spans="1:11" x14ac:dyDescent="0.3">
      <c r="A59" s="1" t="s">
        <v>108</v>
      </c>
      <c r="B59" s="2">
        <v>45726</v>
      </c>
      <c r="C59" s="1"/>
      <c r="D59" s="1" t="s">
        <v>30</v>
      </c>
      <c r="E59" s="1">
        <v>25</v>
      </c>
      <c r="F59" s="1">
        <v>7602</v>
      </c>
      <c r="G59" s="1">
        <v>21</v>
      </c>
      <c r="H59" s="1">
        <v>9198.42</v>
      </c>
      <c r="I59" s="1">
        <v>190050</v>
      </c>
    </row>
    <row r="60" spans="1:11" x14ac:dyDescent="0.3">
      <c r="A60" s="1" t="s">
        <v>109</v>
      </c>
      <c r="B60" s="2">
        <v>45727</v>
      </c>
      <c r="C60" s="1"/>
      <c r="D60" s="1" t="s">
        <v>76</v>
      </c>
      <c r="E60" s="1">
        <v>20</v>
      </c>
      <c r="F60" s="1">
        <v>20236.84</v>
      </c>
      <c r="G60" s="1">
        <v>21</v>
      </c>
      <c r="H60" s="1">
        <v>24486.576400000002</v>
      </c>
      <c r="I60" s="1">
        <v>404736.8</v>
      </c>
    </row>
    <row r="61" spans="1:11" x14ac:dyDescent="0.3">
      <c r="A61" s="1" t="s">
        <v>109</v>
      </c>
      <c r="B61" s="2">
        <v>45727</v>
      </c>
      <c r="C61" s="1"/>
      <c r="D61" s="1" t="s">
        <v>111</v>
      </c>
      <c r="E61" s="1">
        <v>2</v>
      </c>
      <c r="F61" s="1">
        <v>95590</v>
      </c>
      <c r="G61" s="1">
        <v>21</v>
      </c>
      <c r="H61" s="1">
        <v>115663.9</v>
      </c>
      <c r="I61" s="1">
        <v>191180</v>
      </c>
    </row>
    <row r="62" spans="1:11" x14ac:dyDescent="0.3">
      <c r="A62" s="1" t="s">
        <v>112</v>
      </c>
      <c r="B62" s="2">
        <v>45728</v>
      </c>
      <c r="C62" s="1"/>
      <c r="D62" s="1" t="s">
        <v>30</v>
      </c>
      <c r="E62" s="1">
        <v>100</v>
      </c>
      <c r="F62" s="1">
        <v>7603.75</v>
      </c>
      <c r="G62" s="1">
        <v>21</v>
      </c>
      <c r="H62" s="1">
        <v>9200.5375000000004</v>
      </c>
      <c r="I62" s="1">
        <v>760375</v>
      </c>
    </row>
    <row r="63" spans="1:11" x14ac:dyDescent="0.3">
      <c r="A63" s="1" t="s">
        <v>113</v>
      </c>
      <c r="B63" s="2">
        <v>45729</v>
      </c>
      <c r="C63" s="1"/>
      <c r="D63" s="1" t="s">
        <v>30</v>
      </c>
      <c r="E63" s="1">
        <v>75</v>
      </c>
      <c r="F63" s="1">
        <v>7603.75</v>
      </c>
      <c r="G63" s="1">
        <v>21</v>
      </c>
      <c r="H63" s="1">
        <v>9200.5375000000004</v>
      </c>
      <c r="I63" s="1">
        <v>570281.25</v>
      </c>
    </row>
    <row r="64" spans="1:11" x14ac:dyDescent="0.3">
      <c r="A64" s="1" t="s">
        <v>113</v>
      </c>
      <c r="B64" s="2">
        <v>45729</v>
      </c>
      <c r="C64" s="1"/>
      <c r="D64" s="1" t="s">
        <v>50</v>
      </c>
      <c r="E64" s="1">
        <v>20</v>
      </c>
      <c r="F64" s="1">
        <v>10808.19</v>
      </c>
      <c r="G64" s="1">
        <v>21</v>
      </c>
      <c r="H64" s="1">
        <v>13077.909900000001</v>
      </c>
      <c r="I64" s="1">
        <v>216163.8</v>
      </c>
    </row>
    <row r="65" spans="1:9" x14ac:dyDescent="0.3">
      <c r="A65" s="1" t="s">
        <v>113</v>
      </c>
      <c r="B65" s="2">
        <v>45729</v>
      </c>
      <c r="C65" s="1"/>
      <c r="D65" s="1" t="s">
        <v>59</v>
      </c>
      <c r="E65" s="1">
        <v>20</v>
      </c>
      <c r="F65" s="1">
        <v>11166.65</v>
      </c>
      <c r="G65" s="1">
        <v>21</v>
      </c>
      <c r="H65" s="1">
        <v>13511.646500000001</v>
      </c>
      <c r="I65" s="1">
        <v>223333</v>
      </c>
    </row>
    <row r="66" spans="1:9" x14ac:dyDescent="0.3">
      <c r="A66" s="1" t="s">
        <v>114</v>
      </c>
      <c r="B66" s="2">
        <v>45733</v>
      </c>
      <c r="C66" s="1"/>
      <c r="D66" s="1" t="s">
        <v>50</v>
      </c>
      <c r="E66" s="1">
        <v>20</v>
      </c>
      <c r="F66" s="1">
        <v>10825.6</v>
      </c>
      <c r="G66" s="1">
        <v>21</v>
      </c>
      <c r="H66" s="1">
        <v>13098.976000000001</v>
      </c>
      <c r="I66" s="1">
        <v>216512</v>
      </c>
    </row>
    <row r="67" spans="1:9" x14ac:dyDescent="0.3">
      <c r="A67" s="1" t="s">
        <v>114</v>
      </c>
      <c r="B67" s="2">
        <v>45733</v>
      </c>
      <c r="C67" s="1"/>
      <c r="D67" s="1" t="s">
        <v>62</v>
      </c>
      <c r="E67" s="1">
        <v>25</v>
      </c>
      <c r="F67" s="1">
        <v>7028.48</v>
      </c>
      <c r="G67" s="1">
        <v>21</v>
      </c>
      <c r="H67" s="1">
        <v>8504.4608000000007</v>
      </c>
      <c r="I67" s="1">
        <v>175712</v>
      </c>
    </row>
    <row r="68" spans="1:9" x14ac:dyDescent="0.3">
      <c r="A68" s="1" t="s">
        <v>114</v>
      </c>
      <c r="B68" s="2">
        <v>45733</v>
      </c>
      <c r="C68" s="1"/>
      <c r="D68" s="1" t="s">
        <v>34</v>
      </c>
      <c r="E68" s="1">
        <v>50</v>
      </c>
      <c r="F68" s="1">
        <v>9465.6</v>
      </c>
      <c r="G68" s="1">
        <v>21</v>
      </c>
      <c r="H68" s="1">
        <v>11453.376</v>
      </c>
      <c r="I68" s="1">
        <v>473280</v>
      </c>
    </row>
    <row r="69" spans="1:9" x14ac:dyDescent="0.3">
      <c r="A69" s="1" t="s">
        <v>128</v>
      </c>
      <c r="B69" s="2">
        <v>45735</v>
      </c>
      <c r="C69" s="1"/>
      <c r="D69" s="1" t="s">
        <v>47</v>
      </c>
      <c r="E69" s="1">
        <v>50</v>
      </c>
      <c r="F69" s="1">
        <v>6716.05</v>
      </c>
      <c r="G69" s="1">
        <v>21</v>
      </c>
      <c r="H69" s="1">
        <v>8126.4205000000002</v>
      </c>
      <c r="I69" s="1">
        <v>335802.5</v>
      </c>
    </row>
    <row r="70" spans="1:9" x14ac:dyDescent="0.3">
      <c r="A70" s="1" t="s">
        <v>128</v>
      </c>
      <c r="B70" s="2">
        <v>45735</v>
      </c>
      <c r="C70" s="1"/>
      <c r="D70" s="1" t="s">
        <v>50</v>
      </c>
      <c r="E70" s="1">
        <v>40</v>
      </c>
      <c r="F70" s="1">
        <v>10830.58</v>
      </c>
      <c r="G70" s="1">
        <v>21</v>
      </c>
      <c r="H70" s="1">
        <v>13105.0018</v>
      </c>
      <c r="I70" s="1">
        <v>433223.2</v>
      </c>
    </row>
    <row r="71" spans="1:9" x14ac:dyDescent="0.3">
      <c r="A71" s="1" t="s">
        <v>128</v>
      </c>
      <c r="B71" s="2">
        <v>45735</v>
      </c>
      <c r="C71" s="1"/>
      <c r="D71" s="1" t="s">
        <v>59</v>
      </c>
      <c r="E71" s="1">
        <v>20</v>
      </c>
      <c r="F71" s="1">
        <v>11189.78</v>
      </c>
      <c r="G71" s="1">
        <v>21</v>
      </c>
      <c r="H71" s="1">
        <v>13539.6338</v>
      </c>
      <c r="I71" s="1">
        <v>223795.6</v>
      </c>
    </row>
    <row r="72" spans="1:9" x14ac:dyDescent="0.3">
      <c r="A72" s="1" t="s">
        <v>128</v>
      </c>
      <c r="B72" s="2">
        <v>45735</v>
      </c>
      <c r="C72" s="1"/>
      <c r="D72" s="1" t="s">
        <v>130</v>
      </c>
      <c r="E72" s="1">
        <v>25</v>
      </c>
      <c r="F72" s="1">
        <v>9774.73</v>
      </c>
      <c r="G72" s="1">
        <v>21</v>
      </c>
      <c r="H72" s="1">
        <v>11827.4233</v>
      </c>
      <c r="I72" s="1">
        <v>244368.25</v>
      </c>
    </row>
    <row r="73" spans="1:9" x14ac:dyDescent="0.3">
      <c r="A73" s="1" t="s">
        <v>128</v>
      </c>
      <c r="B73" s="2">
        <v>45735</v>
      </c>
      <c r="C73" s="1"/>
      <c r="D73" s="1" t="s">
        <v>34</v>
      </c>
      <c r="E73" s="1">
        <v>25</v>
      </c>
      <c r="F73" s="1">
        <v>9469.9500000000007</v>
      </c>
      <c r="G73" s="1">
        <v>21</v>
      </c>
      <c r="H73" s="1">
        <v>11458.639499999999</v>
      </c>
      <c r="I73" s="1">
        <v>236748.75</v>
      </c>
    </row>
    <row r="74" spans="1:9" x14ac:dyDescent="0.3">
      <c r="A74" s="1" t="s">
        <v>131</v>
      </c>
      <c r="B74" s="2">
        <v>45736</v>
      </c>
      <c r="C74" s="1"/>
      <c r="D74" s="1" t="s">
        <v>34</v>
      </c>
      <c r="E74" s="1">
        <v>25</v>
      </c>
      <c r="F74" s="1">
        <v>9476.48</v>
      </c>
      <c r="G74" s="1">
        <v>21</v>
      </c>
      <c r="H74" s="1">
        <v>11466.540800000001</v>
      </c>
      <c r="I74" s="1">
        <v>236912</v>
      </c>
    </row>
    <row r="75" spans="1:9" x14ac:dyDescent="0.3">
      <c r="A75" s="1" t="s">
        <v>137</v>
      </c>
      <c r="B75" s="2">
        <v>45741</v>
      </c>
      <c r="C75" s="1"/>
      <c r="D75" s="1" t="s">
        <v>34</v>
      </c>
      <c r="E75" s="1">
        <v>25</v>
      </c>
      <c r="F75" s="1">
        <v>9493.8799999999992</v>
      </c>
      <c r="G75" s="1">
        <v>21</v>
      </c>
      <c r="H75" s="1">
        <v>11487.594800000001</v>
      </c>
      <c r="I75" s="1">
        <v>237347</v>
      </c>
    </row>
    <row r="76" spans="1:9" x14ac:dyDescent="0.3">
      <c r="A76" s="1" t="s">
        <v>138</v>
      </c>
      <c r="B76" s="2">
        <v>45741</v>
      </c>
      <c r="C76" s="1"/>
      <c r="D76" s="1" t="s">
        <v>62</v>
      </c>
      <c r="E76" s="1">
        <v>25</v>
      </c>
      <c r="F76" s="1">
        <v>7047.86</v>
      </c>
      <c r="G76" s="1">
        <v>21</v>
      </c>
      <c r="H76" s="1">
        <v>8527.9105999999992</v>
      </c>
      <c r="I76" s="1">
        <v>176196.5</v>
      </c>
    </row>
    <row r="77" spans="1:9" x14ac:dyDescent="0.3">
      <c r="A77" s="1" t="s">
        <v>138</v>
      </c>
      <c r="B77" s="2">
        <v>45741</v>
      </c>
      <c r="C77" s="1"/>
      <c r="D77" s="1" t="s">
        <v>32</v>
      </c>
      <c r="E77" s="1">
        <v>25</v>
      </c>
      <c r="F77" s="1">
        <v>8728</v>
      </c>
      <c r="G77" s="1">
        <v>21</v>
      </c>
      <c r="H77" s="1">
        <v>10560.88</v>
      </c>
      <c r="I77" s="1">
        <v>218200</v>
      </c>
    </row>
    <row r="78" spans="1:9" x14ac:dyDescent="0.3">
      <c r="A78" s="1" t="s">
        <v>142</v>
      </c>
      <c r="B78" s="2">
        <v>45742</v>
      </c>
      <c r="C78" s="1"/>
      <c r="D78" s="1" t="s">
        <v>130</v>
      </c>
      <c r="E78" s="1">
        <v>25</v>
      </c>
      <c r="F78" s="1">
        <v>9799.43</v>
      </c>
      <c r="G78" s="1">
        <v>21</v>
      </c>
      <c r="H78" s="1">
        <v>11857.310299999999</v>
      </c>
      <c r="I78" s="1">
        <v>244985.75</v>
      </c>
    </row>
    <row r="79" spans="1:9" x14ac:dyDescent="0.3">
      <c r="A79" s="1" t="s">
        <v>143</v>
      </c>
      <c r="B79" s="2">
        <v>45743</v>
      </c>
      <c r="C79" s="1"/>
      <c r="D79" s="1" t="s">
        <v>50</v>
      </c>
      <c r="E79" s="1">
        <v>20</v>
      </c>
      <c r="F79" s="1">
        <v>10860.43</v>
      </c>
      <c r="G79" s="1">
        <v>21</v>
      </c>
      <c r="H79" s="1">
        <v>13141.1203</v>
      </c>
      <c r="I79" s="1">
        <v>217208.6</v>
      </c>
    </row>
    <row r="80" spans="1:9" x14ac:dyDescent="0.3">
      <c r="A80" s="1" t="s">
        <v>143</v>
      </c>
      <c r="B80" s="2">
        <v>45743</v>
      </c>
      <c r="C80" s="1"/>
      <c r="D80" s="1" t="s">
        <v>59</v>
      </c>
      <c r="E80" s="1">
        <v>20</v>
      </c>
      <c r="F80" s="1">
        <v>11220.62</v>
      </c>
      <c r="G80" s="1">
        <v>21</v>
      </c>
      <c r="H80" s="1">
        <v>13576.950199999999</v>
      </c>
      <c r="I80" s="1">
        <v>224412.4</v>
      </c>
    </row>
    <row r="81" spans="1:11" x14ac:dyDescent="0.3">
      <c r="A81" s="1" t="s">
        <v>143</v>
      </c>
      <c r="B81" s="2">
        <v>45743</v>
      </c>
      <c r="C81" s="1"/>
      <c r="D81" s="1" t="s">
        <v>145</v>
      </c>
      <c r="E81" s="1">
        <v>25</v>
      </c>
      <c r="F81" s="1">
        <v>11133.3</v>
      </c>
      <c r="G81" s="1">
        <v>21</v>
      </c>
      <c r="H81" s="1">
        <v>13471.293</v>
      </c>
      <c r="I81" s="1">
        <v>278332.5</v>
      </c>
    </row>
    <row r="82" spans="1:11" x14ac:dyDescent="0.3">
      <c r="A82" s="1" t="s">
        <v>146</v>
      </c>
      <c r="B82" s="2">
        <v>45744</v>
      </c>
      <c r="C82" s="1"/>
      <c r="D82" s="1" t="s">
        <v>30</v>
      </c>
      <c r="E82" s="1">
        <v>100</v>
      </c>
      <c r="F82" s="1">
        <v>7642.25</v>
      </c>
      <c r="G82" s="1">
        <v>21</v>
      </c>
      <c r="H82" s="1">
        <v>9247.1224999999995</v>
      </c>
      <c r="I82" s="1">
        <v>764225</v>
      </c>
    </row>
    <row r="83" spans="1:11" x14ac:dyDescent="0.3">
      <c r="A83" s="1" t="s">
        <v>146</v>
      </c>
      <c r="B83" s="2">
        <v>45744</v>
      </c>
      <c r="C83" s="1"/>
      <c r="D83" s="1" t="s">
        <v>50</v>
      </c>
      <c r="E83" s="1">
        <v>20</v>
      </c>
      <c r="F83" s="1">
        <v>10862.91</v>
      </c>
      <c r="G83" s="1">
        <v>21</v>
      </c>
      <c r="H83" s="1">
        <v>13144.1211</v>
      </c>
      <c r="I83" s="1">
        <v>217258.2</v>
      </c>
      <c r="K83">
        <f>SUM(I53:I83)</f>
        <v>9771634.4999999981</v>
      </c>
    </row>
    <row r="84" spans="1:11" x14ac:dyDescent="0.3">
      <c r="A84" s="1" t="s">
        <v>206</v>
      </c>
      <c r="B84" s="2">
        <v>45748</v>
      </c>
      <c r="C84" s="1"/>
      <c r="D84" s="1" t="s">
        <v>47</v>
      </c>
      <c r="E84" s="1">
        <v>100</v>
      </c>
      <c r="F84" s="1">
        <v>6746.9</v>
      </c>
      <c r="G84" s="1">
        <v>21</v>
      </c>
      <c r="H84" s="1">
        <v>8163.7489999999998</v>
      </c>
      <c r="I84" s="1">
        <v>674690</v>
      </c>
    </row>
    <row r="85" spans="1:11" x14ac:dyDescent="0.3">
      <c r="A85" s="1" t="s">
        <v>206</v>
      </c>
      <c r="B85" s="2">
        <v>45748</v>
      </c>
      <c r="C85" s="1"/>
      <c r="D85" s="1" t="s">
        <v>30</v>
      </c>
      <c r="E85" s="1">
        <v>50</v>
      </c>
      <c r="F85" s="1">
        <v>7654.5</v>
      </c>
      <c r="G85" s="1">
        <v>21</v>
      </c>
      <c r="H85" s="1">
        <v>9261.9449999999997</v>
      </c>
      <c r="I85" s="1">
        <v>382725</v>
      </c>
    </row>
    <row r="86" spans="1:11" x14ac:dyDescent="0.3">
      <c r="A86" s="1" t="s">
        <v>207</v>
      </c>
      <c r="B86" s="2">
        <v>45748</v>
      </c>
      <c r="C86" s="1"/>
      <c r="D86" s="1" t="s">
        <v>30</v>
      </c>
      <c r="E86" s="1">
        <v>50</v>
      </c>
      <c r="F86" s="1">
        <v>8201.25</v>
      </c>
      <c r="G86" s="1">
        <v>21</v>
      </c>
      <c r="H86" s="1">
        <v>9923.5125000000007</v>
      </c>
      <c r="I86" s="1">
        <v>410062.5</v>
      </c>
    </row>
    <row r="87" spans="1:11" x14ac:dyDescent="0.3">
      <c r="A87" s="1" t="s">
        <v>208</v>
      </c>
      <c r="B87" s="2">
        <v>45748</v>
      </c>
      <c r="C87" s="1"/>
      <c r="D87" s="1" t="s">
        <v>175</v>
      </c>
      <c r="E87" s="1">
        <v>-1</v>
      </c>
      <c r="F87" s="1">
        <v>27337.5</v>
      </c>
      <c r="G87" s="1">
        <v>21</v>
      </c>
      <c r="H87" s="1">
        <v>33078.375</v>
      </c>
      <c r="I87" s="1">
        <v>-27337.5</v>
      </c>
    </row>
    <row r="88" spans="1:11" x14ac:dyDescent="0.3">
      <c r="A88" s="1" t="s">
        <v>205</v>
      </c>
      <c r="B88" s="2">
        <v>45750</v>
      </c>
      <c r="C88" s="1"/>
      <c r="D88" s="1" t="s">
        <v>50</v>
      </c>
      <c r="E88" s="1">
        <v>40</v>
      </c>
      <c r="F88" s="1">
        <v>10887.79</v>
      </c>
      <c r="G88" s="1">
        <v>21</v>
      </c>
      <c r="H88" s="1">
        <v>13174.225899999999</v>
      </c>
      <c r="I88" s="1">
        <v>435511.6</v>
      </c>
    </row>
    <row r="89" spans="1:11" x14ac:dyDescent="0.3">
      <c r="A89" s="1" t="s">
        <v>205</v>
      </c>
      <c r="B89" s="2">
        <v>45750</v>
      </c>
      <c r="C89" s="1"/>
      <c r="D89" s="1" t="s">
        <v>59</v>
      </c>
      <c r="E89" s="1">
        <v>20</v>
      </c>
      <c r="F89" s="1">
        <v>11248.89</v>
      </c>
      <c r="G89" s="1">
        <v>21</v>
      </c>
      <c r="H89" s="1">
        <v>13611.1569</v>
      </c>
      <c r="I89" s="1">
        <v>224977.8</v>
      </c>
    </row>
    <row r="90" spans="1:11" x14ac:dyDescent="0.3">
      <c r="A90" s="1" t="s">
        <v>199</v>
      </c>
      <c r="B90" s="2">
        <v>45751</v>
      </c>
      <c r="C90" s="1"/>
      <c r="D90" s="1" t="s">
        <v>30</v>
      </c>
      <c r="E90" s="1">
        <v>50</v>
      </c>
      <c r="F90" s="1">
        <v>7661.5</v>
      </c>
      <c r="G90" s="1">
        <v>21</v>
      </c>
      <c r="H90" s="1">
        <v>9270.4150000000009</v>
      </c>
      <c r="I90" s="1">
        <v>383075</v>
      </c>
    </row>
    <row r="91" spans="1:11" x14ac:dyDescent="0.3">
      <c r="A91" s="1" t="s">
        <v>199</v>
      </c>
      <c r="B91" s="2">
        <v>45751</v>
      </c>
      <c r="C91" s="1"/>
      <c r="D91" s="1" t="s">
        <v>32</v>
      </c>
      <c r="E91" s="1">
        <v>75</v>
      </c>
      <c r="F91" s="1">
        <v>8756</v>
      </c>
      <c r="G91" s="1">
        <v>21</v>
      </c>
      <c r="H91" s="1">
        <v>10594.76</v>
      </c>
      <c r="I91" s="1">
        <v>656700</v>
      </c>
    </row>
    <row r="92" spans="1:11" x14ac:dyDescent="0.3">
      <c r="A92" s="1" t="s">
        <v>196</v>
      </c>
      <c r="B92" s="2">
        <v>45754</v>
      </c>
      <c r="C92" s="1"/>
      <c r="D92" s="1" t="s">
        <v>59</v>
      </c>
      <c r="E92" s="1">
        <v>20</v>
      </c>
      <c r="F92" s="1">
        <v>11261.74</v>
      </c>
      <c r="G92" s="1">
        <v>21</v>
      </c>
      <c r="H92" s="1">
        <v>13626.705400000001</v>
      </c>
      <c r="I92" s="1">
        <v>225234.8</v>
      </c>
    </row>
    <row r="93" spans="1:11" x14ac:dyDescent="0.3">
      <c r="A93" s="1" t="s">
        <v>196</v>
      </c>
      <c r="B93" s="2">
        <v>45754</v>
      </c>
      <c r="C93" s="1"/>
      <c r="D93" s="1" t="s">
        <v>198</v>
      </c>
      <c r="E93" s="1">
        <v>25</v>
      </c>
      <c r="F93" s="1">
        <v>8983.1</v>
      </c>
      <c r="G93" s="1">
        <v>21</v>
      </c>
      <c r="H93" s="1">
        <v>10869.550999999999</v>
      </c>
      <c r="I93" s="1">
        <v>224577.5</v>
      </c>
    </row>
    <row r="94" spans="1:11" x14ac:dyDescent="0.3">
      <c r="A94" s="1" t="s">
        <v>196</v>
      </c>
      <c r="B94" s="2">
        <v>45754</v>
      </c>
      <c r="C94" s="1"/>
      <c r="D94" s="1" t="s">
        <v>172</v>
      </c>
      <c r="E94" s="1">
        <v>25</v>
      </c>
      <c r="F94" s="1">
        <v>7120.75</v>
      </c>
      <c r="G94" s="1">
        <v>21</v>
      </c>
      <c r="H94" s="1">
        <v>8616.1075000000001</v>
      </c>
      <c r="I94" s="1">
        <v>178018.75</v>
      </c>
    </row>
    <row r="95" spans="1:11" x14ac:dyDescent="0.3">
      <c r="A95" s="1" t="s">
        <v>193</v>
      </c>
      <c r="B95" s="2">
        <v>45755</v>
      </c>
      <c r="C95" s="1"/>
      <c r="D95" s="1" t="s">
        <v>47</v>
      </c>
      <c r="E95" s="1">
        <v>25</v>
      </c>
      <c r="F95" s="1">
        <v>6760.78</v>
      </c>
      <c r="G95" s="1">
        <v>21</v>
      </c>
      <c r="H95" s="1">
        <v>8180.5438000000004</v>
      </c>
      <c r="I95" s="1">
        <v>169019.5</v>
      </c>
    </row>
    <row r="96" spans="1:11" x14ac:dyDescent="0.3">
      <c r="A96" s="1" t="s">
        <v>193</v>
      </c>
      <c r="B96" s="2">
        <v>45755</v>
      </c>
      <c r="C96" s="1"/>
      <c r="D96" s="1" t="s">
        <v>30</v>
      </c>
      <c r="E96" s="1">
        <v>50</v>
      </c>
      <c r="F96" s="1">
        <v>7670.25</v>
      </c>
      <c r="G96" s="1">
        <v>21</v>
      </c>
      <c r="H96" s="1">
        <v>9281.0025000000005</v>
      </c>
      <c r="I96" s="1">
        <v>383512.5</v>
      </c>
    </row>
    <row r="97" spans="1:9" x14ac:dyDescent="0.3">
      <c r="A97" s="1" t="s">
        <v>193</v>
      </c>
      <c r="B97" s="2">
        <v>45755</v>
      </c>
      <c r="C97" s="1"/>
      <c r="D97" s="1" t="s">
        <v>50</v>
      </c>
      <c r="E97" s="1">
        <v>40</v>
      </c>
      <c r="F97" s="1">
        <v>10902.71</v>
      </c>
      <c r="G97" s="1">
        <v>21</v>
      </c>
      <c r="H97" s="1">
        <v>13192.2791</v>
      </c>
      <c r="I97" s="1">
        <v>436108.4</v>
      </c>
    </row>
    <row r="98" spans="1:9" x14ac:dyDescent="0.3">
      <c r="A98" s="1" t="s">
        <v>193</v>
      </c>
      <c r="B98" s="2">
        <v>45755</v>
      </c>
      <c r="C98" s="1"/>
      <c r="D98" s="1" t="s">
        <v>195</v>
      </c>
      <c r="E98" s="1">
        <v>25</v>
      </c>
      <c r="F98" s="1">
        <v>11209.52</v>
      </c>
      <c r="G98" s="1">
        <v>21</v>
      </c>
      <c r="H98" s="1">
        <v>13563.519200000001</v>
      </c>
      <c r="I98" s="1">
        <v>280238</v>
      </c>
    </row>
    <row r="99" spans="1:9" x14ac:dyDescent="0.3">
      <c r="A99" s="1" t="s">
        <v>189</v>
      </c>
      <c r="B99" s="2">
        <v>45756</v>
      </c>
      <c r="C99" s="1"/>
      <c r="D99" s="1" t="s">
        <v>59</v>
      </c>
      <c r="E99" s="1">
        <v>20</v>
      </c>
      <c r="F99" s="1">
        <v>11266.88</v>
      </c>
      <c r="G99" s="1">
        <v>21</v>
      </c>
      <c r="H99" s="1">
        <v>13632.924800000001</v>
      </c>
      <c r="I99" s="1">
        <v>225337.60000000001</v>
      </c>
    </row>
    <row r="100" spans="1:9" x14ac:dyDescent="0.3">
      <c r="A100" s="1" t="s">
        <v>189</v>
      </c>
      <c r="B100" s="2">
        <v>45756</v>
      </c>
      <c r="C100" s="1"/>
      <c r="D100" s="1" t="s">
        <v>62</v>
      </c>
      <c r="E100" s="1">
        <v>25</v>
      </c>
      <c r="F100" s="1">
        <v>7080.16</v>
      </c>
      <c r="G100" s="1">
        <v>21</v>
      </c>
      <c r="H100" s="1">
        <v>8566.9935999999998</v>
      </c>
      <c r="I100" s="1">
        <v>177004</v>
      </c>
    </row>
    <row r="101" spans="1:9" x14ac:dyDescent="0.3">
      <c r="A101" s="1" t="s">
        <v>190</v>
      </c>
      <c r="B101" s="2">
        <v>45756</v>
      </c>
      <c r="C101" s="1"/>
      <c r="D101" s="1" t="s">
        <v>192</v>
      </c>
      <c r="E101" s="1">
        <v>25</v>
      </c>
      <c r="F101" s="1">
        <v>8570.7199999999993</v>
      </c>
      <c r="G101" s="1">
        <v>21</v>
      </c>
      <c r="H101" s="1">
        <v>10370.5712</v>
      </c>
      <c r="I101" s="1">
        <v>214268</v>
      </c>
    </row>
    <row r="102" spans="1:9" x14ac:dyDescent="0.3">
      <c r="A102" s="1" t="s">
        <v>188</v>
      </c>
      <c r="B102" s="2">
        <v>45757</v>
      </c>
      <c r="C102" s="1"/>
      <c r="D102" s="1" t="s">
        <v>47</v>
      </c>
      <c r="E102" s="1">
        <v>50</v>
      </c>
      <c r="F102" s="1">
        <v>6765.41</v>
      </c>
      <c r="G102" s="1">
        <v>21</v>
      </c>
      <c r="H102" s="1">
        <v>8186.1460999999999</v>
      </c>
      <c r="I102" s="1">
        <v>338270.5</v>
      </c>
    </row>
    <row r="103" spans="1:9" x14ac:dyDescent="0.3">
      <c r="A103" s="1" t="s">
        <v>188</v>
      </c>
      <c r="B103" s="2">
        <v>45757</v>
      </c>
      <c r="C103" s="1"/>
      <c r="D103" s="1" t="s">
        <v>30</v>
      </c>
      <c r="E103" s="1">
        <v>125</v>
      </c>
      <c r="F103" s="1">
        <v>7675.5</v>
      </c>
      <c r="G103" s="1">
        <v>21</v>
      </c>
      <c r="H103" s="1">
        <v>9287.3549999999996</v>
      </c>
      <c r="I103" s="1">
        <v>959437.5</v>
      </c>
    </row>
    <row r="104" spans="1:9" x14ac:dyDescent="0.3">
      <c r="A104" s="1" t="s">
        <v>187</v>
      </c>
      <c r="B104" s="2">
        <v>45758</v>
      </c>
      <c r="C104" s="1"/>
      <c r="D104" s="1" t="s">
        <v>30</v>
      </c>
      <c r="E104" s="1">
        <v>50</v>
      </c>
      <c r="F104" s="1">
        <v>7677.25</v>
      </c>
      <c r="G104" s="1">
        <v>21</v>
      </c>
      <c r="H104" s="1">
        <v>9289.4724999999999</v>
      </c>
      <c r="I104" s="1">
        <v>383862.5</v>
      </c>
    </row>
    <row r="105" spans="1:9" x14ac:dyDescent="0.3">
      <c r="A105" s="1" t="s">
        <v>176</v>
      </c>
      <c r="B105" s="2">
        <v>45762</v>
      </c>
      <c r="C105" s="1"/>
      <c r="D105" s="1" t="s">
        <v>50</v>
      </c>
      <c r="E105" s="1">
        <v>40</v>
      </c>
      <c r="F105" s="1">
        <v>12238.5</v>
      </c>
      <c r="G105" s="1">
        <v>21</v>
      </c>
      <c r="H105" s="1">
        <v>14808.584999999999</v>
      </c>
      <c r="I105" s="1">
        <v>489540</v>
      </c>
    </row>
    <row r="106" spans="1:9" x14ac:dyDescent="0.3">
      <c r="A106" s="1" t="s">
        <v>176</v>
      </c>
      <c r="B106" s="2">
        <v>45762</v>
      </c>
      <c r="C106" s="1"/>
      <c r="D106" s="1" t="s">
        <v>32</v>
      </c>
      <c r="E106" s="1">
        <v>25</v>
      </c>
      <c r="F106" s="1">
        <v>9840</v>
      </c>
      <c r="G106" s="1">
        <v>21</v>
      </c>
      <c r="H106" s="1">
        <v>11906.4</v>
      </c>
      <c r="I106" s="1">
        <v>246000</v>
      </c>
    </row>
    <row r="107" spans="1:9" x14ac:dyDescent="0.3">
      <c r="A107" s="1" t="s">
        <v>177</v>
      </c>
      <c r="B107" s="2">
        <v>45762</v>
      </c>
      <c r="C107" s="1"/>
      <c r="D107" s="1" t="s">
        <v>30</v>
      </c>
      <c r="E107" s="1">
        <v>125</v>
      </c>
      <c r="F107" s="1">
        <v>8610</v>
      </c>
      <c r="G107" s="1">
        <v>21</v>
      </c>
      <c r="H107" s="1">
        <v>10418.1</v>
      </c>
      <c r="I107" s="1">
        <v>1076250</v>
      </c>
    </row>
    <row r="108" spans="1:9" x14ac:dyDescent="0.3">
      <c r="A108" s="1" t="s">
        <v>177</v>
      </c>
      <c r="B108" s="2">
        <v>45762</v>
      </c>
      <c r="C108" s="1"/>
      <c r="D108" s="1" t="s">
        <v>30</v>
      </c>
      <c r="E108" s="1">
        <v>50</v>
      </c>
      <c r="F108" s="1">
        <v>8610</v>
      </c>
      <c r="G108" s="1">
        <v>21</v>
      </c>
      <c r="H108" s="1">
        <v>10418.1</v>
      </c>
      <c r="I108" s="1">
        <v>430500</v>
      </c>
    </row>
    <row r="109" spans="1:9" x14ac:dyDescent="0.3">
      <c r="A109" s="1" t="s">
        <v>177</v>
      </c>
      <c r="B109" s="2">
        <v>45762</v>
      </c>
      <c r="C109" s="1"/>
      <c r="D109" s="1" t="s">
        <v>59</v>
      </c>
      <c r="E109" s="1">
        <v>20</v>
      </c>
      <c r="F109" s="1">
        <v>12644.4</v>
      </c>
      <c r="G109" s="1">
        <v>21</v>
      </c>
      <c r="H109" s="1">
        <v>15299.724</v>
      </c>
      <c r="I109" s="1">
        <v>252888</v>
      </c>
    </row>
    <row r="110" spans="1:9" x14ac:dyDescent="0.3">
      <c r="A110" s="1" t="s">
        <v>169</v>
      </c>
      <c r="B110" s="2">
        <v>45763</v>
      </c>
      <c r="C110" s="1"/>
      <c r="D110" s="1" t="s">
        <v>59</v>
      </c>
      <c r="E110" s="1">
        <v>20</v>
      </c>
      <c r="F110" s="1">
        <v>12644.4</v>
      </c>
      <c r="G110" s="1">
        <v>21</v>
      </c>
      <c r="H110" s="1">
        <v>15299.724</v>
      </c>
      <c r="I110" s="1">
        <v>252888</v>
      </c>
    </row>
    <row r="111" spans="1:9" x14ac:dyDescent="0.3">
      <c r="A111" s="1" t="s">
        <v>170</v>
      </c>
      <c r="B111" s="2">
        <v>45763</v>
      </c>
      <c r="C111" s="1"/>
      <c r="D111" s="1" t="s">
        <v>30</v>
      </c>
      <c r="E111" s="1">
        <v>100</v>
      </c>
      <c r="F111" s="1">
        <v>9225</v>
      </c>
      <c r="G111" s="1">
        <v>21</v>
      </c>
      <c r="H111" s="1">
        <v>11162.25</v>
      </c>
      <c r="I111" s="1">
        <v>922500</v>
      </c>
    </row>
    <row r="112" spans="1:9" x14ac:dyDescent="0.3">
      <c r="A112" s="1" t="s">
        <v>170</v>
      </c>
      <c r="B112" s="2">
        <v>45763</v>
      </c>
      <c r="C112" s="1"/>
      <c r="D112" s="1" t="s">
        <v>172</v>
      </c>
      <c r="E112" s="1">
        <v>100</v>
      </c>
      <c r="F112" s="1">
        <v>7995</v>
      </c>
      <c r="G112" s="1">
        <v>21</v>
      </c>
      <c r="H112" s="1">
        <v>9673.9500000000007</v>
      </c>
      <c r="I112" s="1">
        <v>799500</v>
      </c>
    </row>
    <row r="113" spans="1:9" x14ac:dyDescent="0.3">
      <c r="A113" s="1" t="s">
        <v>173</v>
      </c>
      <c r="B113" s="2">
        <v>45763</v>
      </c>
      <c r="C113" s="1"/>
      <c r="D113" s="1" t="s">
        <v>175</v>
      </c>
      <c r="E113" s="1">
        <v>-1</v>
      </c>
      <c r="F113" s="1">
        <v>61500</v>
      </c>
      <c r="G113" s="1">
        <v>21</v>
      </c>
      <c r="H113" s="1">
        <v>74415</v>
      </c>
      <c r="I113" s="1">
        <v>-61500</v>
      </c>
    </row>
    <row r="114" spans="1:9" x14ac:dyDescent="0.3">
      <c r="A114" s="1" t="s">
        <v>166</v>
      </c>
      <c r="B114" s="2">
        <v>45764</v>
      </c>
      <c r="C114" s="1"/>
      <c r="D114" s="1" t="s">
        <v>47</v>
      </c>
      <c r="E114" s="1">
        <v>25</v>
      </c>
      <c r="F114" s="1">
        <v>7157.2</v>
      </c>
      <c r="G114" s="1">
        <v>21</v>
      </c>
      <c r="H114" s="1">
        <v>8660.2119999999995</v>
      </c>
      <c r="I114" s="1">
        <v>178930</v>
      </c>
    </row>
    <row r="115" spans="1:9" x14ac:dyDescent="0.3">
      <c r="A115" s="1" t="s">
        <v>166</v>
      </c>
      <c r="B115" s="2">
        <v>45764</v>
      </c>
      <c r="C115" s="1"/>
      <c r="D115" s="1" t="s">
        <v>30</v>
      </c>
      <c r="E115" s="1">
        <v>50</v>
      </c>
      <c r="F115" s="1">
        <v>8120</v>
      </c>
      <c r="G115" s="1">
        <v>21</v>
      </c>
      <c r="H115" s="1">
        <v>9825.2000000000007</v>
      </c>
      <c r="I115" s="1">
        <v>406000</v>
      </c>
    </row>
    <row r="116" spans="1:9" x14ac:dyDescent="0.3">
      <c r="A116" s="1" t="s">
        <v>166</v>
      </c>
      <c r="B116" s="2">
        <v>45764</v>
      </c>
      <c r="C116" s="1"/>
      <c r="D116" s="1" t="s">
        <v>168</v>
      </c>
      <c r="E116" s="1">
        <v>10</v>
      </c>
      <c r="F116" s="1">
        <v>18560</v>
      </c>
      <c r="G116" s="1">
        <v>21</v>
      </c>
      <c r="H116" s="1">
        <v>22457.599999999999</v>
      </c>
      <c r="I116" s="1">
        <v>185600</v>
      </c>
    </row>
    <row r="117" spans="1:9" x14ac:dyDescent="0.3">
      <c r="A117" s="1" t="s">
        <v>166</v>
      </c>
      <c r="B117" s="2">
        <v>45764</v>
      </c>
      <c r="C117" s="1"/>
      <c r="D117" s="1" t="s">
        <v>32</v>
      </c>
      <c r="E117" s="1">
        <v>75</v>
      </c>
      <c r="F117" s="1">
        <v>9280</v>
      </c>
      <c r="G117" s="1">
        <v>21</v>
      </c>
      <c r="H117" s="1">
        <v>11228.8</v>
      </c>
      <c r="I117" s="1">
        <v>696000</v>
      </c>
    </row>
    <row r="118" spans="1:9" x14ac:dyDescent="0.3">
      <c r="A118" s="1" t="s">
        <v>165</v>
      </c>
      <c r="B118" s="2">
        <v>45768</v>
      </c>
      <c r="C118" s="1"/>
      <c r="D118" s="1" t="s">
        <v>59</v>
      </c>
      <c r="E118" s="1">
        <v>40</v>
      </c>
      <c r="F118" s="1">
        <v>11924.8</v>
      </c>
      <c r="G118" s="1">
        <v>21</v>
      </c>
      <c r="H118" s="1">
        <v>14429.008</v>
      </c>
      <c r="I118" s="1">
        <v>476992</v>
      </c>
    </row>
    <row r="119" spans="1:9" x14ac:dyDescent="0.3">
      <c r="A119" s="1" t="s">
        <v>165</v>
      </c>
      <c r="B119" s="2">
        <v>45768</v>
      </c>
      <c r="C119" s="1"/>
      <c r="D119" s="1" t="s">
        <v>62</v>
      </c>
      <c r="E119" s="1">
        <v>25</v>
      </c>
      <c r="F119" s="1">
        <v>7493.6</v>
      </c>
      <c r="G119" s="1">
        <v>21</v>
      </c>
      <c r="H119" s="1">
        <v>9067.2559999999994</v>
      </c>
      <c r="I119" s="1">
        <v>187340</v>
      </c>
    </row>
    <row r="120" spans="1:9" x14ac:dyDescent="0.3">
      <c r="A120" s="1" t="s">
        <v>161</v>
      </c>
      <c r="B120" s="2">
        <v>45769</v>
      </c>
      <c r="C120" s="1"/>
      <c r="D120" s="1" t="s">
        <v>47</v>
      </c>
      <c r="E120" s="1">
        <v>100</v>
      </c>
      <c r="F120" s="1">
        <v>6848.7</v>
      </c>
      <c r="G120" s="1">
        <v>21</v>
      </c>
      <c r="H120" s="1">
        <v>8286.9269999999997</v>
      </c>
      <c r="I120" s="1">
        <v>684870</v>
      </c>
    </row>
    <row r="121" spans="1:9" x14ac:dyDescent="0.3">
      <c r="A121" s="1" t="s">
        <v>161</v>
      </c>
      <c r="B121" s="2">
        <v>45769</v>
      </c>
      <c r="C121" s="1"/>
      <c r="D121" s="1" t="s">
        <v>30</v>
      </c>
      <c r="E121" s="1">
        <v>75</v>
      </c>
      <c r="F121" s="1">
        <v>7770</v>
      </c>
      <c r="G121" s="1">
        <v>21</v>
      </c>
      <c r="H121" s="1">
        <v>9401.7000000000007</v>
      </c>
      <c r="I121" s="1">
        <v>582750</v>
      </c>
    </row>
    <row r="122" spans="1:9" x14ac:dyDescent="0.3">
      <c r="A122" s="1" t="s">
        <v>160</v>
      </c>
      <c r="B122" s="2">
        <v>45770</v>
      </c>
      <c r="C122" s="1"/>
      <c r="D122" s="1" t="s">
        <v>50</v>
      </c>
      <c r="E122" s="1">
        <v>40</v>
      </c>
      <c r="F122" s="1">
        <v>11144</v>
      </c>
      <c r="G122" s="1">
        <v>21</v>
      </c>
      <c r="H122" s="1">
        <v>13484.24</v>
      </c>
      <c r="I122" s="1">
        <v>445760</v>
      </c>
    </row>
    <row r="123" spans="1:9" x14ac:dyDescent="0.3">
      <c r="A123" s="1" t="s">
        <v>159</v>
      </c>
      <c r="B123" s="2">
        <v>45771</v>
      </c>
      <c r="C123" s="1"/>
      <c r="D123" s="1" t="s">
        <v>47</v>
      </c>
      <c r="E123" s="1">
        <v>75</v>
      </c>
      <c r="F123" s="1">
        <v>7218.9</v>
      </c>
      <c r="G123" s="1">
        <v>21</v>
      </c>
      <c r="H123" s="1">
        <v>8734.8690000000006</v>
      </c>
      <c r="I123" s="1">
        <v>541417.5</v>
      </c>
    </row>
    <row r="124" spans="1:9" x14ac:dyDescent="0.3">
      <c r="A124" s="1" t="s">
        <v>159</v>
      </c>
      <c r="B124" s="2">
        <v>45771</v>
      </c>
      <c r="C124" s="1"/>
      <c r="D124" s="1" t="s">
        <v>30</v>
      </c>
      <c r="E124" s="1">
        <v>125</v>
      </c>
      <c r="F124" s="1">
        <v>7490</v>
      </c>
      <c r="G124" s="1">
        <v>21</v>
      </c>
      <c r="H124" s="1">
        <v>9062.9</v>
      </c>
      <c r="I124" s="1">
        <v>936250</v>
      </c>
    </row>
    <row r="125" spans="1:9" x14ac:dyDescent="0.3">
      <c r="A125" s="1" t="s">
        <v>156</v>
      </c>
      <c r="B125" s="2">
        <v>45772</v>
      </c>
      <c r="C125" s="1"/>
      <c r="D125" s="1" t="s">
        <v>30</v>
      </c>
      <c r="E125" s="1">
        <v>125</v>
      </c>
      <c r="F125" s="1">
        <v>8330</v>
      </c>
      <c r="G125" s="1">
        <v>21</v>
      </c>
      <c r="H125" s="1">
        <v>10079.299999999999</v>
      </c>
      <c r="I125" s="1">
        <v>1041250</v>
      </c>
    </row>
    <row r="126" spans="1:9" x14ac:dyDescent="0.3">
      <c r="A126" s="1" t="s">
        <v>156</v>
      </c>
      <c r="B126" s="2">
        <v>45772</v>
      </c>
      <c r="C126" s="1"/>
      <c r="D126" s="1" t="s">
        <v>158</v>
      </c>
      <c r="E126" s="1">
        <v>1</v>
      </c>
      <c r="F126" s="1">
        <v>10067.4</v>
      </c>
      <c r="G126" s="1">
        <v>21</v>
      </c>
      <c r="H126" s="1">
        <v>12181.554</v>
      </c>
      <c r="I126" s="1">
        <v>10067.4</v>
      </c>
    </row>
    <row r="127" spans="1:9" x14ac:dyDescent="0.3">
      <c r="A127" s="1" t="s">
        <v>156</v>
      </c>
      <c r="B127" s="2">
        <v>45772</v>
      </c>
      <c r="C127" s="1"/>
      <c r="D127" s="1" t="s">
        <v>111</v>
      </c>
      <c r="E127" s="1">
        <v>1</v>
      </c>
      <c r="F127" s="1">
        <v>104720</v>
      </c>
      <c r="G127" s="1">
        <v>21</v>
      </c>
      <c r="H127" s="1">
        <v>126711.2</v>
      </c>
      <c r="I127" s="1">
        <v>104720</v>
      </c>
    </row>
    <row r="128" spans="1:9" x14ac:dyDescent="0.3">
      <c r="A128" s="1" t="s">
        <v>155</v>
      </c>
      <c r="B128" s="2">
        <v>45775</v>
      </c>
      <c r="C128" s="1"/>
      <c r="D128" s="1" t="s">
        <v>30</v>
      </c>
      <c r="E128" s="1">
        <v>50</v>
      </c>
      <c r="F128" s="1">
        <v>8330</v>
      </c>
      <c r="G128" s="1">
        <v>21</v>
      </c>
      <c r="H128" s="1">
        <v>10079.299999999999</v>
      </c>
      <c r="I128" s="1">
        <v>416500</v>
      </c>
    </row>
    <row r="129" spans="1:9" x14ac:dyDescent="0.3">
      <c r="A129" s="1" t="s">
        <v>155</v>
      </c>
      <c r="B129" s="2">
        <v>45775</v>
      </c>
      <c r="C129" s="1"/>
      <c r="D129" s="1" t="s">
        <v>50</v>
      </c>
      <c r="E129" s="1">
        <v>40</v>
      </c>
      <c r="F129" s="1">
        <v>11840.5</v>
      </c>
      <c r="G129" s="1">
        <v>21</v>
      </c>
      <c r="H129" s="1">
        <v>14327.004999999999</v>
      </c>
      <c r="I129" s="1">
        <v>473620</v>
      </c>
    </row>
    <row r="130" spans="1:9" x14ac:dyDescent="0.3">
      <c r="A130" s="1" t="s">
        <v>154</v>
      </c>
      <c r="B130" s="2">
        <v>45776</v>
      </c>
      <c r="C130" s="1"/>
      <c r="D130" s="1" t="s">
        <v>47</v>
      </c>
      <c r="E130" s="1">
        <v>50</v>
      </c>
      <c r="F130" s="1">
        <v>7342.3</v>
      </c>
      <c r="G130" s="1">
        <v>21</v>
      </c>
      <c r="H130" s="1">
        <v>8884.1830000000009</v>
      </c>
      <c r="I130" s="1">
        <v>367115</v>
      </c>
    </row>
    <row r="131" spans="1:9" x14ac:dyDescent="0.3">
      <c r="A131" s="1" t="s">
        <v>154</v>
      </c>
      <c r="B131" s="2">
        <v>45776</v>
      </c>
      <c r="C131" s="1"/>
      <c r="D131" s="1" t="s">
        <v>30</v>
      </c>
      <c r="E131" s="1">
        <v>125</v>
      </c>
      <c r="F131" s="1">
        <v>8330</v>
      </c>
      <c r="G131" s="1">
        <v>21</v>
      </c>
      <c r="H131" s="1">
        <v>10079.299999999999</v>
      </c>
      <c r="I131" s="1">
        <v>1041250</v>
      </c>
    </row>
    <row r="132" spans="1:9" x14ac:dyDescent="0.3">
      <c r="A132" s="1" t="s">
        <v>209</v>
      </c>
      <c r="B132" s="2">
        <v>45779</v>
      </c>
      <c r="C132" s="1"/>
      <c r="D132" s="1" t="s">
        <v>30</v>
      </c>
      <c r="E132" s="1">
        <v>250</v>
      </c>
      <c r="F132" s="1">
        <v>8260</v>
      </c>
      <c r="G132" s="1">
        <v>21</v>
      </c>
      <c r="H132" s="1">
        <v>9994.6</v>
      </c>
      <c r="I132" s="1">
        <v>2065000</v>
      </c>
    </row>
    <row r="133" spans="1:9" x14ac:dyDescent="0.3">
      <c r="A133" s="1" t="s">
        <v>209</v>
      </c>
      <c r="B133" s="2">
        <v>45779</v>
      </c>
      <c r="C133" s="1"/>
      <c r="D133" s="1" t="s">
        <v>62</v>
      </c>
      <c r="E133" s="1">
        <v>25</v>
      </c>
      <c r="F133" s="1">
        <v>7622.8</v>
      </c>
      <c r="G133" s="1">
        <v>21</v>
      </c>
      <c r="H133" s="1">
        <v>9223.5879999999997</v>
      </c>
      <c r="I133" s="1">
        <v>190570</v>
      </c>
    </row>
    <row r="134" spans="1:9" x14ac:dyDescent="0.3">
      <c r="A134" s="1" t="s">
        <v>209</v>
      </c>
      <c r="B134" s="2">
        <v>45779</v>
      </c>
      <c r="C134" s="1"/>
      <c r="D134" s="1" t="s">
        <v>130</v>
      </c>
      <c r="E134" s="1">
        <v>25</v>
      </c>
      <c r="F134" s="1">
        <v>10596.4</v>
      </c>
      <c r="G134" s="1">
        <v>21</v>
      </c>
      <c r="H134" s="1">
        <v>12821.644</v>
      </c>
      <c r="I134" s="1">
        <v>264910</v>
      </c>
    </row>
    <row r="135" spans="1:9" x14ac:dyDescent="0.3">
      <c r="A135" s="1" t="s">
        <v>209</v>
      </c>
      <c r="B135" s="2">
        <v>45779</v>
      </c>
      <c r="C135" s="1"/>
      <c r="D135" s="1" t="s">
        <v>78</v>
      </c>
      <c r="E135" s="1">
        <v>50</v>
      </c>
      <c r="F135" s="1">
        <v>11965.2</v>
      </c>
      <c r="G135" s="1">
        <v>21</v>
      </c>
      <c r="H135" s="1">
        <v>14477.892</v>
      </c>
      <c r="I135" s="1">
        <v>598260</v>
      </c>
    </row>
    <row r="136" spans="1:9" x14ac:dyDescent="0.3">
      <c r="A136" s="1" t="s">
        <v>210</v>
      </c>
      <c r="B136" s="2">
        <v>45782</v>
      </c>
      <c r="C136" s="1"/>
      <c r="D136" s="1" t="s">
        <v>59</v>
      </c>
      <c r="E136" s="1">
        <v>20</v>
      </c>
      <c r="F136" s="1">
        <v>12233.2</v>
      </c>
      <c r="G136" s="1">
        <v>21</v>
      </c>
      <c r="H136" s="1">
        <v>14802.172</v>
      </c>
      <c r="I136" s="1">
        <v>244664</v>
      </c>
    </row>
    <row r="137" spans="1:9" x14ac:dyDescent="0.3">
      <c r="A137" s="1" t="s">
        <v>211</v>
      </c>
      <c r="B137" s="2">
        <v>45782</v>
      </c>
      <c r="C137" s="1"/>
      <c r="D137" s="1" t="s">
        <v>30</v>
      </c>
      <c r="E137" s="1">
        <v>50</v>
      </c>
      <c r="F137" s="1">
        <v>8330</v>
      </c>
      <c r="G137" s="1">
        <v>21</v>
      </c>
      <c r="H137" s="1">
        <v>10079.299999999999</v>
      </c>
      <c r="I137" s="1">
        <v>416500</v>
      </c>
    </row>
    <row r="138" spans="1:9" x14ac:dyDescent="0.3">
      <c r="A138" s="1" t="s">
        <v>211</v>
      </c>
      <c r="B138" s="2">
        <v>45782</v>
      </c>
      <c r="C138" s="1"/>
      <c r="D138" s="1" t="s">
        <v>34</v>
      </c>
      <c r="E138" s="1">
        <v>100</v>
      </c>
      <c r="F138" s="1">
        <v>10353</v>
      </c>
      <c r="G138" s="1">
        <v>21</v>
      </c>
      <c r="H138" s="1">
        <v>12527.13</v>
      </c>
      <c r="I138" s="1">
        <v>1035300</v>
      </c>
    </row>
    <row r="139" spans="1:9" x14ac:dyDescent="0.3">
      <c r="A139" s="1" t="s">
        <v>212</v>
      </c>
      <c r="B139" s="2">
        <v>45783</v>
      </c>
      <c r="C139" s="1"/>
      <c r="D139" s="1" t="s">
        <v>47</v>
      </c>
      <c r="E139" s="1">
        <v>50</v>
      </c>
      <c r="F139" s="1">
        <v>7465.7</v>
      </c>
      <c r="G139" s="1">
        <v>21</v>
      </c>
      <c r="H139" s="1">
        <v>9033.4969999999994</v>
      </c>
      <c r="I139" s="1">
        <v>373285</v>
      </c>
    </row>
    <row r="140" spans="1:9" x14ac:dyDescent="0.3">
      <c r="A140" s="1" t="s">
        <v>212</v>
      </c>
      <c r="B140" s="2">
        <v>45783</v>
      </c>
      <c r="C140" s="1"/>
      <c r="D140" s="1" t="s">
        <v>50</v>
      </c>
      <c r="E140" s="1">
        <v>40</v>
      </c>
      <c r="F140" s="1">
        <v>12039.5</v>
      </c>
      <c r="G140" s="1">
        <v>21</v>
      </c>
      <c r="H140" s="1">
        <v>14567.795</v>
      </c>
      <c r="I140" s="1">
        <v>481580</v>
      </c>
    </row>
    <row r="141" spans="1:9" x14ac:dyDescent="0.3">
      <c r="A141" s="1" t="s">
        <v>212</v>
      </c>
      <c r="B141" s="2">
        <v>45783</v>
      </c>
      <c r="C141" s="1"/>
      <c r="D141" s="1" t="s">
        <v>34</v>
      </c>
      <c r="E141" s="1">
        <v>25</v>
      </c>
      <c r="F141" s="1">
        <v>10527</v>
      </c>
      <c r="G141" s="1">
        <v>21</v>
      </c>
      <c r="H141" s="1">
        <v>12737.67</v>
      </c>
      <c r="I141" s="1">
        <v>263175</v>
      </c>
    </row>
    <row r="142" spans="1:9" x14ac:dyDescent="0.3">
      <c r="A142" s="1" t="s">
        <v>213</v>
      </c>
      <c r="B142" s="2">
        <v>45784</v>
      </c>
      <c r="C142" s="1"/>
      <c r="D142" s="1" t="s">
        <v>30</v>
      </c>
      <c r="E142" s="1">
        <v>50</v>
      </c>
      <c r="F142" s="1">
        <v>8505</v>
      </c>
      <c r="G142" s="1">
        <v>21</v>
      </c>
      <c r="H142" s="1">
        <v>10291.049999999999</v>
      </c>
      <c r="I142" s="1">
        <v>425250</v>
      </c>
    </row>
    <row r="143" spans="1:9" x14ac:dyDescent="0.3">
      <c r="A143" s="1" t="s">
        <v>213</v>
      </c>
      <c r="B143" s="2">
        <v>45784</v>
      </c>
      <c r="C143" s="1"/>
      <c r="D143" s="1" t="s">
        <v>32</v>
      </c>
      <c r="E143" s="1">
        <v>50</v>
      </c>
      <c r="F143" s="1">
        <v>9720</v>
      </c>
      <c r="G143" s="1">
        <v>21</v>
      </c>
      <c r="H143" s="1">
        <v>11761.2</v>
      </c>
      <c r="I143" s="1">
        <v>486000</v>
      </c>
    </row>
    <row r="144" spans="1:9" x14ac:dyDescent="0.3">
      <c r="A144" s="1" t="s">
        <v>214</v>
      </c>
      <c r="B144" s="2">
        <v>45785</v>
      </c>
      <c r="C144" s="1"/>
      <c r="D144" s="1" t="s">
        <v>47</v>
      </c>
      <c r="E144" s="1">
        <v>25</v>
      </c>
      <c r="F144" s="1">
        <v>7033.8</v>
      </c>
      <c r="G144" s="1">
        <v>21</v>
      </c>
      <c r="H144" s="1">
        <v>8510.8979999999992</v>
      </c>
      <c r="I144" s="1">
        <v>175845</v>
      </c>
    </row>
    <row r="145" spans="1:9" x14ac:dyDescent="0.3">
      <c r="A145" s="1" t="s">
        <v>214</v>
      </c>
      <c r="B145" s="2">
        <v>45785</v>
      </c>
      <c r="C145" s="1"/>
      <c r="D145" s="1" t="s">
        <v>30</v>
      </c>
      <c r="E145" s="1">
        <v>100</v>
      </c>
      <c r="F145" s="1">
        <v>7980</v>
      </c>
      <c r="G145" s="1">
        <v>21</v>
      </c>
      <c r="H145" s="1">
        <v>9655.7999999999993</v>
      </c>
      <c r="I145" s="1">
        <v>798000</v>
      </c>
    </row>
    <row r="146" spans="1:9" x14ac:dyDescent="0.3">
      <c r="A146" s="1" t="s">
        <v>215</v>
      </c>
      <c r="B146" s="2">
        <v>45786</v>
      </c>
      <c r="C146" s="1"/>
      <c r="D146" s="1" t="s">
        <v>47</v>
      </c>
      <c r="E146" s="1">
        <v>75</v>
      </c>
      <c r="F146" s="1">
        <v>6972.1</v>
      </c>
      <c r="G146" s="1">
        <v>21</v>
      </c>
      <c r="H146" s="1">
        <v>8436.241</v>
      </c>
      <c r="I146" s="1">
        <v>522907.5</v>
      </c>
    </row>
    <row r="147" spans="1:9" x14ac:dyDescent="0.3">
      <c r="A147" s="1" t="s">
        <v>215</v>
      </c>
      <c r="B147" s="2">
        <v>45786</v>
      </c>
      <c r="C147" s="1"/>
      <c r="D147" s="1" t="s">
        <v>59</v>
      </c>
      <c r="E147" s="1">
        <v>20</v>
      </c>
      <c r="F147" s="1">
        <v>11616.4</v>
      </c>
      <c r="G147" s="1">
        <v>21</v>
      </c>
      <c r="H147" s="1">
        <v>14055.843999999999</v>
      </c>
      <c r="I147" s="1">
        <v>232328</v>
      </c>
    </row>
    <row r="148" spans="1:9" x14ac:dyDescent="0.3">
      <c r="A148" s="1" t="s">
        <v>216</v>
      </c>
      <c r="B148" s="2">
        <v>45789</v>
      </c>
      <c r="C148" s="1"/>
      <c r="D148" s="1" t="s">
        <v>47</v>
      </c>
      <c r="E148" s="1">
        <v>75</v>
      </c>
      <c r="F148" s="1">
        <v>7095.5</v>
      </c>
      <c r="G148" s="1">
        <v>21</v>
      </c>
      <c r="H148" s="1">
        <v>8585.5550000000003</v>
      </c>
      <c r="I148" s="1">
        <v>532162.5</v>
      </c>
    </row>
    <row r="149" spans="1:9" x14ac:dyDescent="0.3">
      <c r="A149" s="1" t="s">
        <v>216</v>
      </c>
      <c r="B149" s="2">
        <v>45789</v>
      </c>
      <c r="C149" s="1"/>
      <c r="D149" s="1" t="s">
        <v>30</v>
      </c>
      <c r="E149" s="1">
        <v>75</v>
      </c>
      <c r="F149" s="1">
        <v>8050</v>
      </c>
      <c r="G149" s="1">
        <v>21</v>
      </c>
      <c r="H149" s="1">
        <v>9740.5</v>
      </c>
      <c r="I149" s="1">
        <v>603750</v>
      </c>
    </row>
    <row r="150" spans="1:9" x14ac:dyDescent="0.3">
      <c r="A150" s="1" t="s">
        <v>216</v>
      </c>
      <c r="B150" s="2">
        <v>45789</v>
      </c>
      <c r="C150" s="1"/>
      <c r="D150" s="1" t="s">
        <v>62</v>
      </c>
      <c r="E150" s="1">
        <v>25</v>
      </c>
      <c r="F150" s="1">
        <v>7429</v>
      </c>
      <c r="G150" s="1">
        <v>21</v>
      </c>
      <c r="H150" s="1">
        <v>8989.09</v>
      </c>
      <c r="I150" s="1">
        <v>185725</v>
      </c>
    </row>
    <row r="151" spans="1:9" x14ac:dyDescent="0.3">
      <c r="A151" s="1" t="s">
        <v>216</v>
      </c>
      <c r="B151" s="2">
        <v>45789</v>
      </c>
      <c r="C151" s="1"/>
      <c r="D151" s="1" t="s">
        <v>172</v>
      </c>
      <c r="E151" s="1">
        <v>50</v>
      </c>
      <c r="F151" s="1">
        <v>7475</v>
      </c>
      <c r="G151" s="1">
        <v>21</v>
      </c>
      <c r="H151" s="1">
        <v>9044.75</v>
      </c>
      <c r="I151" s="1">
        <v>373750</v>
      </c>
    </row>
    <row r="152" spans="1:9" x14ac:dyDescent="0.3">
      <c r="A152" s="1" t="s">
        <v>217</v>
      </c>
      <c r="B152" s="2">
        <v>45790</v>
      </c>
      <c r="C152" s="1"/>
      <c r="D152" s="1" t="s">
        <v>47</v>
      </c>
      <c r="E152" s="1">
        <v>85</v>
      </c>
      <c r="F152" s="1">
        <v>7095.5</v>
      </c>
      <c r="G152" s="1">
        <v>21</v>
      </c>
      <c r="H152" s="1">
        <v>8585.5550000000003</v>
      </c>
      <c r="I152" s="1">
        <v>603117.5</v>
      </c>
    </row>
    <row r="153" spans="1:9" x14ac:dyDescent="0.3">
      <c r="A153" s="1" t="s">
        <v>218</v>
      </c>
      <c r="B153" s="2">
        <v>45790</v>
      </c>
      <c r="C153" s="1"/>
      <c r="D153" s="1" t="s">
        <v>47</v>
      </c>
      <c r="E153" s="1">
        <v>100</v>
      </c>
      <c r="F153" s="1">
        <v>7095.5</v>
      </c>
      <c r="G153" s="1">
        <v>21</v>
      </c>
      <c r="H153" s="1">
        <v>8585.5550000000003</v>
      </c>
      <c r="I153" s="1">
        <v>709550</v>
      </c>
    </row>
    <row r="154" spans="1:9" x14ac:dyDescent="0.3">
      <c r="A154" s="1" t="s">
        <v>219</v>
      </c>
      <c r="B154" s="2">
        <v>45791</v>
      </c>
      <c r="C154" s="1"/>
      <c r="D154" s="1" t="s">
        <v>30</v>
      </c>
      <c r="E154" s="1">
        <v>75</v>
      </c>
      <c r="F154" s="1">
        <v>8050</v>
      </c>
      <c r="G154" s="1">
        <v>21</v>
      </c>
      <c r="H154" s="1">
        <v>9740.5</v>
      </c>
      <c r="I154" s="1">
        <v>603750</v>
      </c>
    </row>
    <row r="155" spans="1:9" x14ac:dyDescent="0.3">
      <c r="A155" s="1" t="s">
        <v>219</v>
      </c>
      <c r="B155" s="2">
        <v>45791</v>
      </c>
      <c r="C155" s="1"/>
      <c r="D155" s="1" t="s">
        <v>59</v>
      </c>
      <c r="E155" s="1">
        <v>20</v>
      </c>
      <c r="F155" s="1">
        <v>11822</v>
      </c>
      <c r="G155" s="1">
        <v>21</v>
      </c>
      <c r="H155" s="1">
        <v>14304.62</v>
      </c>
      <c r="I155" s="1">
        <v>236440</v>
      </c>
    </row>
    <row r="156" spans="1:9" x14ac:dyDescent="0.3">
      <c r="A156" s="1" t="s">
        <v>219</v>
      </c>
      <c r="B156" s="2">
        <v>45791</v>
      </c>
      <c r="C156" s="1"/>
      <c r="D156" s="1" t="s">
        <v>34</v>
      </c>
      <c r="E156" s="1">
        <v>50</v>
      </c>
      <c r="F156" s="1">
        <v>10005</v>
      </c>
      <c r="G156" s="1">
        <v>21</v>
      </c>
      <c r="H156" s="1">
        <v>12106.05</v>
      </c>
      <c r="I156" s="1">
        <v>500250</v>
      </c>
    </row>
    <row r="157" spans="1:9" x14ac:dyDescent="0.3">
      <c r="A157" s="1" t="s">
        <v>220</v>
      </c>
      <c r="B157" s="2">
        <v>45793</v>
      </c>
      <c r="C157" s="1"/>
      <c r="D157" s="1" t="s">
        <v>50</v>
      </c>
      <c r="E157" s="1">
        <v>40</v>
      </c>
      <c r="F157" s="1">
        <v>11442.5</v>
      </c>
      <c r="G157" s="1">
        <v>21</v>
      </c>
      <c r="H157" s="1">
        <v>13845.424999999999</v>
      </c>
      <c r="I157" s="1">
        <v>457700</v>
      </c>
    </row>
    <row r="158" spans="1:9" x14ac:dyDescent="0.3">
      <c r="A158" s="1" t="s">
        <v>221</v>
      </c>
      <c r="B158" s="2">
        <v>45793</v>
      </c>
      <c r="C158" s="1"/>
      <c r="D158" s="1" t="s">
        <v>47</v>
      </c>
      <c r="E158" s="1">
        <v>50</v>
      </c>
      <c r="F158" s="1">
        <v>7095.5</v>
      </c>
      <c r="G158" s="1">
        <v>21</v>
      </c>
      <c r="H158" s="1">
        <v>8585.5550000000003</v>
      </c>
      <c r="I158" s="1">
        <v>354775</v>
      </c>
    </row>
    <row r="159" spans="1:9" x14ac:dyDescent="0.3">
      <c r="A159" s="1" t="s">
        <v>221</v>
      </c>
      <c r="B159" s="2">
        <v>45793</v>
      </c>
      <c r="C159" s="1"/>
      <c r="D159" s="1" t="s">
        <v>59</v>
      </c>
      <c r="E159" s="1">
        <v>20</v>
      </c>
      <c r="F159" s="1">
        <v>11822</v>
      </c>
      <c r="G159" s="1">
        <v>21</v>
      </c>
      <c r="H159" s="1">
        <v>14304.62</v>
      </c>
      <c r="I159" s="1">
        <v>236440</v>
      </c>
    </row>
    <row r="160" spans="1:9" x14ac:dyDescent="0.3">
      <c r="A160" s="1" t="s">
        <v>221</v>
      </c>
      <c r="B160" s="2">
        <v>45793</v>
      </c>
      <c r="C160" s="1"/>
      <c r="D160" s="1" t="s">
        <v>172</v>
      </c>
      <c r="E160" s="1">
        <v>100</v>
      </c>
      <c r="F160" s="1">
        <v>7475</v>
      </c>
      <c r="G160" s="1">
        <v>21</v>
      </c>
      <c r="H160" s="1">
        <v>9044.75</v>
      </c>
      <c r="I160" s="1">
        <v>747500</v>
      </c>
    </row>
    <row r="161" spans="1:9" x14ac:dyDescent="0.3">
      <c r="A161" s="1" t="s">
        <v>222</v>
      </c>
      <c r="B161" s="2">
        <v>45796</v>
      </c>
      <c r="C161" s="1"/>
      <c r="D161" s="1" t="s">
        <v>30</v>
      </c>
      <c r="E161" s="1">
        <v>150</v>
      </c>
      <c r="F161" s="1">
        <v>7590</v>
      </c>
      <c r="G161" s="1">
        <v>21</v>
      </c>
      <c r="H161" s="1">
        <v>9183.9</v>
      </c>
      <c r="I161" s="1">
        <v>1138500</v>
      </c>
    </row>
    <row r="162" spans="1:9" x14ac:dyDescent="0.3">
      <c r="A162" s="1" t="s">
        <v>222</v>
      </c>
      <c r="B162" s="2">
        <v>45796</v>
      </c>
      <c r="C162" s="1"/>
      <c r="D162" s="1" t="s">
        <v>130</v>
      </c>
      <c r="E162" s="1">
        <v>50</v>
      </c>
      <c r="F162" s="1">
        <v>10327</v>
      </c>
      <c r="G162" s="1">
        <v>21</v>
      </c>
      <c r="H162" s="1">
        <v>12495.67</v>
      </c>
      <c r="I162" s="1">
        <v>516350</v>
      </c>
    </row>
    <row r="163" spans="1:9" x14ac:dyDescent="0.3">
      <c r="A163" s="1" t="s">
        <v>223</v>
      </c>
      <c r="B163" s="2">
        <v>45797</v>
      </c>
      <c r="C163" s="1"/>
      <c r="D163" s="1" t="s">
        <v>30</v>
      </c>
      <c r="E163" s="1">
        <v>75</v>
      </c>
      <c r="F163" s="1">
        <v>7623</v>
      </c>
      <c r="G163" s="1">
        <v>21</v>
      </c>
      <c r="H163" s="1">
        <v>9223.83</v>
      </c>
      <c r="I163" s="1">
        <v>571725</v>
      </c>
    </row>
    <row r="164" spans="1:9" x14ac:dyDescent="0.3">
      <c r="A164" s="1" t="s">
        <v>223</v>
      </c>
      <c r="B164" s="2">
        <v>45797</v>
      </c>
      <c r="C164" s="1"/>
      <c r="D164" s="1" t="s">
        <v>50</v>
      </c>
      <c r="E164" s="1">
        <v>20</v>
      </c>
      <c r="F164" s="1">
        <v>11492.25</v>
      </c>
      <c r="G164" s="1">
        <v>21</v>
      </c>
      <c r="H164" s="1">
        <v>13905.622499999999</v>
      </c>
      <c r="I164" s="1">
        <v>229845</v>
      </c>
    </row>
    <row r="165" spans="1:9" x14ac:dyDescent="0.3">
      <c r="A165" s="1" t="s">
        <v>223</v>
      </c>
      <c r="B165" s="2">
        <v>45797</v>
      </c>
      <c r="C165" s="1"/>
      <c r="D165" s="1" t="s">
        <v>62</v>
      </c>
      <c r="E165" s="1">
        <v>25</v>
      </c>
      <c r="F165" s="1">
        <v>7461.3</v>
      </c>
      <c r="G165" s="1">
        <v>21</v>
      </c>
      <c r="H165" s="1">
        <v>9028.1730000000007</v>
      </c>
      <c r="I165" s="1">
        <v>186532.5</v>
      </c>
    </row>
    <row r="166" spans="1:9" x14ac:dyDescent="0.3">
      <c r="A166" s="1" t="s">
        <v>224</v>
      </c>
      <c r="B166" s="2">
        <v>45798</v>
      </c>
      <c r="C166" s="1"/>
      <c r="D166" s="1" t="s">
        <v>32</v>
      </c>
      <c r="E166" s="1">
        <v>25</v>
      </c>
      <c r="F166" s="1">
        <v>9280</v>
      </c>
      <c r="G166" s="1">
        <v>21</v>
      </c>
      <c r="H166" s="1">
        <v>11228.8</v>
      </c>
      <c r="I166" s="1">
        <v>232000</v>
      </c>
    </row>
    <row r="167" spans="1:9" x14ac:dyDescent="0.3">
      <c r="A167" s="1" t="s">
        <v>225</v>
      </c>
      <c r="B167" s="2">
        <v>45799</v>
      </c>
      <c r="C167" s="1"/>
      <c r="D167" s="1" t="s">
        <v>50</v>
      </c>
      <c r="E167" s="1">
        <v>20</v>
      </c>
      <c r="F167" s="1">
        <v>11542</v>
      </c>
      <c r="G167" s="1">
        <v>21</v>
      </c>
      <c r="H167" s="1">
        <v>13965.82</v>
      </c>
      <c r="I167" s="1">
        <v>230840</v>
      </c>
    </row>
    <row r="168" spans="1:9" x14ac:dyDescent="0.3">
      <c r="A168" s="1" t="s">
        <v>225</v>
      </c>
      <c r="B168" s="2">
        <v>45799</v>
      </c>
      <c r="C168" s="1"/>
      <c r="D168" s="1" t="s">
        <v>59</v>
      </c>
      <c r="E168" s="1">
        <v>20</v>
      </c>
      <c r="F168" s="1">
        <v>11924.8</v>
      </c>
      <c r="G168" s="1">
        <v>21</v>
      </c>
      <c r="H168" s="1">
        <v>14429.008</v>
      </c>
      <c r="I168" s="1">
        <v>238496</v>
      </c>
    </row>
    <row r="169" spans="1:9" x14ac:dyDescent="0.3">
      <c r="A169" s="1" t="s">
        <v>226</v>
      </c>
      <c r="B169" s="2">
        <v>45800</v>
      </c>
      <c r="C169" s="1"/>
      <c r="D169" s="1" t="s">
        <v>192</v>
      </c>
      <c r="E169" s="1">
        <v>25</v>
      </c>
      <c r="F169" s="1">
        <v>9032.1</v>
      </c>
      <c r="G169" s="1">
        <v>21</v>
      </c>
      <c r="H169" s="1">
        <v>10928.841</v>
      </c>
      <c r="I169" s="1">
        <v>225802.5</v>
      </c>
    </row>
    <row r="170" spans="1:9" x14ac:dyDescent="0.3">
      <c r="A170" s="1" t="s">
        <v>227</v>
      </c>
      <c r="B170" s="2">
        <v>45803</v>
      </c>
      <c r="C170" s="1"/>
      <c r="D170" s="1" t="s">
        <v>47</v>
      </c>
      <c r="E170" s="1">
        <v>75</v>
      </c>
      <c r="F170" s="1">
        <v>7095.5</v>
      </c>
      <c r="G170" s="1">
        <v>21</v>
      </c>
      <c r="H170" s="1">
        <v>8585.5550000000003</v>
      </c>
      <c r="I170" s="1">
        <v>532162.5</v>
      </c>
    </row>
    <row r="171" spans="1:9" x14ac:dyDescent="0.3">
      <c r="A171" s="1" t="s">
        <v>227</v>
      </c>
      <c r="B171" s="2">
        <v>45803</v>
      </c>
      <c r="C171" s="1"/>
      <c r="D171" s="1" t="s">
        <v>30</v>
      </c>
      <c r="E171" s="1">
        <v>250</v>
      </c>
      <c r="F171" s="1">
        <v>7590</v>
      </c>
      <c r="G171" s="1">
        <v>21</v>
      </c>
      <c r="H171" s="1">
        <v>9183.9</v>
      </c>
      <c r="I171" s="1">
        <v>1897500</v>
      </c>
    </row>
    <row r="172" spans="1:9" x14ac:dyDescent="0.3">
      <c r="A172" s="1" t="s">
        <v>227</v>
      </c>
      <c r="B172" s="2">
        <v>45803</v>
      </c>
      <c r="C172" s="1"/>
      <c r="D172" s="1" t="s">
        <v>62</v>
      </c>
      <c r="E172" s="1">
        <v>25</v>
      </c>
      <c r="F172" s="1">
        <v>7429</v>
      </c>
      <c r="G172" s="1">
        <v>21</v>
      </c>
      <c r="H172" s="1">
        <v>8989.09</v>
      </c>
      <c r="I172" s="1">
        <v>185725</v>
      </c>
    </row>
    <row r="173" spans="1:9" x14ac:dyDescent="0.3">
      <c r="A173" s="1" t="s">
        <v>228</v>
      </c>
      <c r="B173" s="2">
        <v>45804</v>
      </c>
      <c r="C173" s="1"/>
      <c r="D173" s="1" t="s">
        <v>76</v>
      </c>
      <c r="E173" s="1">
        <v>20</v>
      </c>
      <c r="F173" s="1">
        <v>21610.799999999999</v>
      </c>
      <c r="G173" s="1">
        <v>21</v>
      </c>
      <c r="H173" s="1">
        <v>26149.067999999999</v>
      </c>
      <c r="I173" s="1">
        <v>432216</v>
      </c>
    </row>
    <row r="174" spans="1:9" x14ac:dyDescent="0.3">
      <c r="A174" s="1" t="s">
        <v>228</v>
      </c>
      <c r="B174" s="2">
        <v>45804</v>
      </c>
      <c r="C174" s="1"/>
      <c r="D174" s="1" t="s">
        <v>192</v>
      </c>
      <c r="E174" s="1">
        <v>25</v>
      </c>
      <c r="F174" s="1">
        <v>9071.2000000000007</v>
      </c>
      <c r="G174" s="1">
        <v>21</v>
      </c>
      <c r="H174" s="1">
        <v>10976.152</v>
      </c>
      <c r="I174" s="1">
        <v>226780</v>
      </c>
    </row>
    <row r="175" spans="1:9" x14ac:dyDescent="0.3">
      <c r="A175" s="1" t="s">
        <v>229</v>
      </c>
      <c r="B175" s="2">
        <v>45805</v>
      </c>
      <c r="C175" s="1"/>
      <c r="D175" s="1" t="s">
        <v>30</v>
      </c>
      <c r="E175" s="1">
        <v>125</v>
      </c>
      <c r="F175" s="1">
        <v>7722</v>
      </c>
      <c r="G175" s="1">
        <v>21</v>
      </c>
      <c r="H175" s="1">
        <v>9343.6200000000008</v>
      </c>
      <c r="I175" s="1">
        <v>965250</v>
      </c>
    </row>
    <row r="176" spans="1:9" x14ac:dyDescent="0.3">
      <c r="A176" s="1" t="s">
        <v>230</v>
      </c>
      <c r="B176" s="2">
        <v>45807</v>
      </c>
      <c r="C176" s="1"/>
      <c r="D176" s="1" t="s">
        <v>30</v>
      </c>
      <c r="E176" s="1">
        <v>50</v>
      </c>
      <c r="F176" s="1">
        <v>7887</v>
      </c>
      <c r="G176" s="1">
        <v>21</v>
      </c>
      <c r="H176" s="1">
        <v>9543.27</v>
      </c>
      <c r="I176" s="1">
        <v>394350</v>
      </c>
    </row>
    <row r="177" spans="1:9" x14ac:dyDescent="0.3">
      <c r="A177" s="1" t="s">
        <v>230</v>
      </c>
      <c r="B177" s="2">
        <v>45807</v>
      </c>
      <c r="C177" s="1"/>
      <c r="D177" s="1" t="s">
        <v>59</v>
      </c>
      <c r="E177" s="1">
        <v>20</v>
      </c>
      <c r="F177" s="1">
        <v>12284.6</v>
      </c>
      <c r="G177" s="1">
        <v>21</v>
      </c>
      <c r="H177" s="1">
        <v>14864.366</v>
      </c>
      <c r="I177" s="1">
        <v>245692</v>
      </c>
    </row>
    <row r="178" spans="1:9" x14ac:dyDescent="0.3">
      <c r="A178" s="1" t="s">
        <v>231</v>
      </c>
      <c r="B178" s="2">
        <v>45810</v>
      </c>
      <c r="C178" s="1" t="s">
        <v>232</v>
      </c>
      <c r="D178" s="1" t="s">
        <v>30</v>
      </c>
      <c r="E178" s="1">
        <v>25</v>
      </c>
      <c r="F178" s="1">
        <v>7920</v>
      </c>
      <c r="G178" s="1">
        <v>21</v>
      </c>
      <c r="H178" s="1">
        <v>9583.2000000000007</v>
      </c>
      <c r="I178" s="1">
        <v>198000</v>
      </c>
    </row>
    <row r="179" spans="1:9" x14ac:dyDescent="0.3">
      <c r="A179" s="1" t="s">
        <v>233</v>
      </c>
      <c r="B179" s="2">
        <v>45810</v>
      </c>
      <c r="C179" s="1" t="s">
        <v>232</v>
      </c>
      <c r="D179" s="1" t="s">
        <v>30</v>
      </c>
      <c r="E179" s="1">
        <v>100</v>
      </c>
      <c r="F179" s="1">
        <v>7920</v>
      </c>
      <c r="G179" s="1">
        <v>21</v>
      </c>
      <c r="H179" s="1">
        <v>9583.2000000000007</v>
      </c>
      <c r="I179" s="1">
        <v>792000</v>
      </c>
    </row>
    <row r="180" spans="1:9" x14ac:dyDescent="0.3">
      <c r="A180" s="1" t="s">
        <v>234</v>
      </c>
      <c r="B180" s="2">
        <v>45811</v>
      </c>
      <c r="C180" s="1" t="s">
        <v>232</v>
      </c>
      <c r="D180" s="1" t="s">
        <v>50</v>
      </c>
      <c r="E180" s="1">
        <v>20</v>
      </c>
      <c r="F180" s="1">
        <v>11940</v>
      </c>
      <c r="G180" s="1">
        <v>21</v>
      </c>
      <c r="H180" s="1">
        <v>14447.4</v>
      </c>
      <c r="I180" s="1">
        <v>238800</v>
      </c>
    </row>
    <row r="181" spans="1:9" x14ac:dyDescent="0.3">
      <c r="A181" s="1" t="s">
        <v>234</v>
      </c>
      <c r="B181" s="2">
        <v>45811</v>
      </c>
      <c r="C181" s="1" t="s">
        <v>232</v>
      </c>
      <c r="D181" s="1" t="s">
        <v>59</v>
      </c>
      <c r="E181" s="1">
        <v>20</v>
      </c>
      <c r="F181" s="1">
        <v>12336</v>
      </c>
      <c r="G181" s="1">
        <v>21</v>
      </c>
      <c r="H181" s="1">
        <v>14926.56</v>
      </c>
      <c r="I181" s="1">
        <v>246720</v>
      </c>
    </row>
    <row r="182" spans="1:9" x14ac:dyDescent="0.3">
      <c r="A182" s="1" t="s">
        <v>234</v>
      </c>
      <c r="B182" s="2">
        <v>45811</v>
      </c>
      <c r="C182" s="1" t="s">
        <v>232</v>
      </c>
      <c r="D182" s="1" t="s">
        <v>236</v>
      </c>
      <c r="E182" s="1">
        <v>25</v>
      </c>
      <c r="F182" s="1">
        <v>11880</v>
      </c>
      <c r="G182" s="1">
        <v>21</v>
      </c>
      <c r="H182" s="1">
        <v>14374.8</v>
      </c>
      <c r="I182" s="1">
        <v>297000</v>
      </c>
    </row>
    <row r="183" spans="1:9" x14ac:dyDescent="0.3">
      <c r="A183" s="1" t="s">
        <v>237</v>
      </c>
      <c r="B183" s="2">
        <v>45812</v>
      </c>
      <c r="C183" s="1"/>
      <c r="D183" s="1" t="s">
        <v>30</v>
      </c>
      <c r="E183" s="1">
        <v>75</v>
      </c>
      <c r="F183" s="1">
        <v>7920</v>
      </c>
      <c r="G183" s="1">
        <v>21</v>
      </c>
      <c r="H183" s="1">
        <v>9583.2000000000007</v>
      </c>
      <c r="I183" s="1">
        <v>594000</v>
      </c>
    </row>
    <row r="184" spans="1:9" x14ac:dyDescent="0.3">
      <c r="A184" s="1" t="s">
        <v>238</v>
      </c>
      <c r="B184" s="2">
        <v>45813</v>
      </c>
      <c r="C184" s="1" t="s">
        <v>239</v>
      </c>
      <c r="D184" s="1" t="s">
        <v>30</v>
      </c>
      <c r="E184" s="1">
        <v>75</v>
      </c>
      <c r="F184" s="1">
        <v>7920</v>
      </c>
      <c r="G184" s="1">
        <v>21</v>
      </c>
      <c r="H184" s="1">
        <v>9583.2000000000007</v>
      </c>
      <c r="I184" s="1">
        <v>594000</v>
      </c>
    </row>
    <row r="185" spans="1:9" x14ac:dyDescent="0.3">
      <c r="A185" s="1" t="s">
        <v>240</v>
      </c>
      <c r="B185" s="2">
        <v>45814</v>
      </c>
      <c r="C185" s="1" t="s">
        <v>241</v>
      </c>
      <c r="D185" s="1" t="s">
        <v>30</v>
      </c>
      <c r="E185" s="1">
        <v>75</v>
      </c>
      <c r="F185" s="1">
        <v>7920</v>
      </c>
      <c r="G185" s="1">
        <v>21</v>
      </c>
      <c r="H185" s="1">
        <v>9583.2000000000007</v>
      </c>
      <c r="I185" s="1">
        <v>594000</v>
      </c>
    </row>
    <row r="186" spans="1:9" x14ac:dyDescent="0.3">
      <c r="A186" s="1" t="s">
        <v>240</v>
      </c>
      <c r="B186" s="2">
        <v>45814</v>
      </c>
      <c r="C186" s="1" t="s">
        <v>241</v>
      </c>
      <c r="D186" s="1" t="s">
        <v>59</v>
      </c>
      <c r="E186" s="1">
        <v>20</v>
      </c>
      <c r="F186" s="1">
        <v>12336</v>
      </c>
      <c r="G186" s="1">
        <v>21</v>
      </c>
      <c r="H186" s="1">
        <v>14926.56</v>
      </c>
      <c r="I186" s="1">
        <v>246720</v>
      </c>
    </row>
    <row r="187" spans="1:9" x14ac:dyDescent="0.3">
      <c r="A187" s="1" t="s">
        <v>245</v>
      </c>
      <c r="B187" s="2">
        <v>45818</v>
      </c>
      <c r="C187" s="1" t="s">
        <v>239</v>
      </c>
      <c r="D187" s="1" t="s">
        <v>47</v>
      </c>
      <c r="E187" s="1">
        <v>50</v>
      </c>
      <c r="F187" s="1">
        <v>7404</v>
      </c>
      <c r="G187" s="1">
        <v>21</v>
      </c>
      <c r="H187" s="1">
        <v>8958.84</v>
      </c>
      <c r="I187" s="1">
        <v>370200</v>
      </c>
    </row>
    <row r="188" spans="1:9" x14ac:dyDescent="0.3">
      <c r="A188" s="1" t="s">
        <v>245</v>
      </c>
      <c r="B188" s="2">
        <v>45818</v>
      </c>
      <c r="C188" s="1" t="s">
        <v>239</v>
      </c>
      <c r="D188" s="1" t="s">
        <v>30</v>
      </c>
      <c r="E188" s="1">
        <v>100</v>
      </c>
      <c r="F188" s="1">
        <v>7920</v>
      </c>
      <c r="G188" s="1">
        <v>21</v>
      </c>
      <c r="H188" s="1">
        <v>9583.2000000000007</v>
      </c>
      <c r="I188" s="1">
        <v>792000</v>
      </c>
    </row>
    <row r="189" spans="1:9" x14ac:dyDescent="0.3">
      <c r="A189" s="1" t="s">
        <v>245</v>
      </c>
      <c r="B189" s="2">
        <v>45818</v>
      </c>
      <c r="C189" s="1" t="s">
        <v>239</v>
      </c>
      <c r="D189" s="1" t="s">
        <v>192</v>
      </c>
      <c r="E189" s="1">
        <v>25</v>
      </c>
      <c r="F189" s="1">
        <v>9384</v>
      </c>
      <c r="G189" s="1">
        <v>21</v>
      </c>
      <c r="H189" s="1">
        <v>11354.64</v>
      </c>
      <c r="I189" s="1">
        <v>234600</v>
      </c>
    </row>
    <row r="190" spans="1:9" x14ac:dyDescent="0.3">
      <c r="A190" s="1" t="s">
        <v>246</v>
      </c>
      <c r="B190" s="2">
        <v>45820</v>
      </c>
      <c r="C190" s="1" t="s">
        <v>239</v>
      </c>
      <c r="D190" s="1" t="s">
        <v>248</v>
      </c>
      <c r="E190" s="1">
        <v>2</v>
      </c>
      <c r="F190" s="1">
        <v>6600000</v>
      </c>
      <c r="G190" s="1">
        <v>10.5</v>
      </c>
      <c r="H190" s="1">
        <v>7293000</v>
      </c>
      <c r="I190" s="1">
        <v>13200000</v>
      </c>
    </row>
    <row r="191" spans="1:9" x14ac:dyDescent="0.3">
      <c r="A191" s="1" t="s">
        <v>249</v>
      </c>
      <c r="B191" s="2">
        <v>45820</v>
      </c>
      <c r="C191" s="1" t="s">
        <v>239</v>
      </c>
      <c r="D191" s="1" t="s">
        <v>30</v>
      </c>
      <c r="E191" s="1">
        <v>50</v>
      </c>
      <c r="F191" s="1">
        <v>7920</v>
      </c>
      <c r="G191" s="1">
        <v>21</v>
      </c>
      <c r="H191" s="1">
        <v>9583.2000000000007</v>
      </c>
      <c r="I191" s="1">
        <v>396000</v>
      </c>
    </row>
    <row r="192" spans="1:9" x14ac:dyDescent="0.3">
      <c r="A192" s="1" t="s">
        <v>250</v>
      </c>
      <c r="B192" s="2">
        <v>45820</v>
      </c>
      <c r="C192" s="1" t="s">
        <v>239</v>
      </c>
      <c r="D192" s="1" t="s">
        <v>30</v>
      </c>
      <c r="E192" s="1">
        <v>75</v>
      </c>
      <c r="F192" s="1">
        <v>7920</v>
      </c>
      <c r="G192" s="1">
        <v>21</v>
      </c>
      <c r="H192" s="1">
        <v>9583.2000000000007</v>
      </c>
      <c r="I192" s="1">
        <v>594000</v>
      </c>
    </row>
    <row r="193" spans="1:9" x14ac:dyDescent="0.3">
      <c r="A193" s="1" t="s">
        <v>250</v>
      </c>
      <c r="B193" s="2">
        <v>45820</v>
      </c>
      <c r="C193" s="1" t="s">
        <v>239</v>
      </c>
      <c r="D193" s="1" t="s">
        <v>62</v>
      </c>
      <c r="E193" s="1">
        <v>50</v>
      </c>
      <c r="F193" s="1">
        <v>7752</v>
      </c>
      <c r="G193" s="1">
        <v>21</v>
      </c>
      <c r="H193" s="1">
        <v>9379.92</v>
      </c>
      <c r="I193" s="1">
        <v>387600</v>
      </c>
    </row>
    <row r="194" spans="1:9" x14ac:dyDescent="0.3">
      <c r="A194" s="1" t="s">
        <v>251</v>
      </c>
      <c r="B194" s="2">
        <v>45821</v>
      </c>
      <c r="C194" s="1" t="s">
        <v>239</v>
      </c>
      <c r="D194" s="1" t="s">
        <v>59</v>
      </c>
      <c r="E194" s="1">
        <v>40</v>
      </c>
      <c r="F194" s="1">
        <v>12336</v>
      </c>
      <c r="G194" s="1">
        <v>21</v>
      </c>
      <c r="H194" s="1">
        <v>14926.56</v>
      </c>
      <c r="I194" s="1">
        <v>493440</v>
      </c>
    </row>
    <row r="195" spans="1:9" x14ac:dyDescent="0.3">
      <c r="A195" s="1" t="s">
        <v>251</v>
      </c>
      <c r="B195" s="2">
        <v>45821</v>
      </c>
      <c r="C195" s="1" t="s">
        <v>239</v>
      </c>
      <c r="D195" s="1" t="s">
        <v>236</v>
      </c>
      <c r="E195" s="1">
        <v>25</v>
      </c>
      <c r="F195" s="1">
        <v>11880</v>
      </c>
      <c r="G195" s="1">
        <v>21</v>
      </c>
      <c r="H195" s="1">
        <v>14374.8</v>
      </c>
      <c r="I195" s="1">
        <v>297000</v>
      </c>
    </row>
    <row r="196" spans="1:9" x14ac:dyDescent="0.3">
      <c r="A196" s="1" t="s">
        <v>251</v>
      </c>
      <c r="B196" s="2">
        <v>45821</v>
      </c>
      <c r="C196" s="1" t="s">
        <v>239</v>
      </c>
      <c r="D196" s="1" t="s">
        <v>172</v>
      </c>
      <c r="E196" s="1">
        <v>50</v>
      </c>
      <c r="F196" s="1">
        <v>7404</v>
      </c>
      <c r="G196" s="1">
        <v>21</v>
      </c>
      <c r="H196" s="1">
        <v>8958.84</v>
      </c>
      <c r="I196" s="1">
        <v>370200</v>
      </c>
    </row>
    <row r="197" spans="1:9" x14ac:dyDescent="0.3">
      <c r="A197" s="1" t="s">
        <v>252</v>
      </c>
      <c r="B197" s="2">
        <v>45825</v>
      </c>
      <c r="C197" s="1" t="s">
        <v>239</v>
      </c>
      <c r="D197" s="1" t="s">
        <v>47</v>
      </c>
      <c r="E197" s="1">
        <v>50</v>
      </c>
      <c r="F197" s="1">
        <v>7404</v>
      </c>
      <c r="G197" s="1">
        <v>21</v>
      </c>
      <c r="H197" s="1">
        <v>8958.84</v>
      </c>
      <c r="I197" s="1">
        <v>370200</v>
      </c>
    </row>
    <row r="198" spans="1:9" x14ac:dyDescent="0.3">
      <c r="A198" s="1" t="s">
        <v>252</v>
      </c>
      <c r="B198" s="2">
        <v>45825</v>
      </c>
      <c r="C198" s="1" t="s">
        <v>239</v>
      </c>
      <c r="D198" s="1" t="s">
        <v>30</v>
      </c>
      <c r="E198" s="1">
        <v>50</v>
      </c>
      <c r="F198" s="1">
        <v>7920</v>
      </c>
      <c r="G198" s="1">
        <v>21</v>
      </c>
      <c r="H198" s="1">
        <v>9583.2000000000007</v>
      </c>
      <c r="I198" s="1">
        <v>396000</v>
      </c>
    </row>
    <row r="199" spans="1:9" x14ac:dyDescent="0.3">
      <c r="A199" s="1" t="s">
        <v>252</v>
      </c>
      <c r="B199" s="2">
        <v>45825</v>
      </c>
      <c r="C199" s="1" t="s">
        <v>239</v>
      </c>
      <c r="D199" s="1" t="s">
        <v>50</v>
      </c>
      <c r="E199" s="1">
        <v>20</v>
      </c>
      <c r="F199" s="1">
        <v>11940</v>
      </c>
      <c r="G199" s="1">
        <v>21</v>
      </c>
      <c r="H199" s="1">
        <v>14447.4</v>
      </c>
      <c r="I199" s="1">
        <v>238800</v>
      </c>
    </row>
    <row r="200" spans="1:9" x14ac:dyDescent="0.3">
      <c r="A200" s="1" t="s">
        <v>253</v>
      </c>
      <c r="B200" s="2">
        <v>45826</v>
      </c>
      <c r="C200" s="1" t="s">
        <v>254</v>
      </c>
      <c r="D200" s="1" t="s">
        <v>30</v>
      </c>
      <c r="E200" s="1">
        <v>125</v>
      </c>
      <c r="F200" s="1">
        <v>7821</v>
      </c>
      <c r="G200" s="1">
        <v>21</v>
      </c>
      <c r="H200" s="1">
        <v>9463.41</v>
      </c>
      <c r="I200" s="1">
        <v>977625</v>
      </c>
    </row>
    <row r="201" spans="1:9" x14ac:dyDescent="0.3">
      <c r="A201" s="1" t="s">
        <v>258</v>
      </c>
      <c r="B201" s="2">
        <v>45827</v>
      </c>
      <c r="C201" s="1"/>
      <c r="D201" s="1" t="s">
        <v>30</v>
      </c>
      <c r="E201" s="1">
        <v>250</v>
      </c>
      <c r="F201" s="1">
        <v>7656</v>
      </c>
      <c r="G201" s="1">
        <v>21</v>
      </c>
      <c r="H201" s="1">
        <v>9263.76</v>
      </c>
      <c r="I201" s="1">
        <v>1914000</v>
      </c>
    </row>
    <row r="202" spans="1:9" x14ac:dyDescent="0.3">
      <c r="A202" s="1" t="s">
        <v>258</v>
      </c>
      <c r="B202" s="2">
        <v>45827</v>
      </c>
      <c r="C202" s="1"/>
      <c r="D202" s="1" t="s">
        <v>130</v>
      </c>
      <c r="E202" s="1">
        <v>25</v>
      </c>
      <c r="F202" s="1">
        <v>10416.799999999999</v>
      </c>
      <c r="G202" s="1">
        <v>21</v>
      </c>
      <c r="H202" s="1">
        <v>12604.328</v>
      </c>
      <c r="I202" s="1">
        <v>260420</v>
      </c>
    </row>
    <row r="203" spans="1:9" x14ac:dyDescent="0.3">
      <c r="A203" s="1" t="s">
        <v>258</v>
      </c>
      <c r="B203" s="2">
        <v>45827</v>
      </c>
      <c r="C203" s="1"/>
      <c r="D203" s="1" t="s">
        <v>78</v>
      </c>
      <c r="E203" s="1">
        <v>25</v>
      </c>
      <c r="F203" s="1">
        <v>11762.4</v>
      </c>
      <c r="G203" s="1">
        <v>21</v>
      </c>
      <c r="H203" s="1">
        <v>14232.504000000001</v>
      </c>
      <c r="I203" s="1">
        <v>294060</v>
      </c>
    </row>
    <row r="204" spans="1:9" x14ac:dyDescent="0.3">
      <c r="A204" s="1" t="s">
        <v>258</v>
      </c>
      <c r="B204" s="2">
        <v>45827</v>
      </c>
      <c r="C204" s="1"/>
      <c r="D204" s="1" t="s">
        <v>260</v>
      </c>
      <c r="E204" s="1">
        <v>25</v>
      </c>
      <c r="F204" s="1">
        <v>11774</v>
      </c>
      <c r="G204" s="1">
        <v>21</v>
      </c>
      <c r="H204" s="1">
        <v>14246.54</v>
      </c>
      <c r="I204" s="1">
        <v>294350</v>
      </c>
    </row>
    <row r="205" spans="1:9" x14ac:dyDescent="0.3">
      <c r="A205" s="1" t="s">
        <v>258</v>
      </c>
      <c r="B205" s="2">
        <v>45827</v>
      </c>
      <c r="C205" s="1"/>
      <c r="D205" s="1" t="s">
        <v>172</v>
      </c>
      <c r="E205" s="1">
        <v>50</v>
      </c>
      <c r="F205" s="1">
        <v>7540</v>
      </c>
      <c r="G205" s="1">
        <v>21</v>
      </c>
      <c r="H205" s="1">
        <v>9123.4</v>
      </c>
      <c r="I205" s="1">
        <v>377000</v>
      </c>
    </row>
    <row r="206" spans="1:9" x14ac:dyDescent="0.3">
      <c r="A206" s="1" t="s">
        <v>261</v>
      </c>
      <c r="B206" s="2">
        <v>45831</v>
      </c>
      <c r="C206" s="1" t="s">
        <v>262</v>
      </c>
      <c r="D206" s="1" t="s">
        <v>59</v>
      </c>
      <c r="E206" s="1">
        <v>40</v>
      </c>
      <c r="F206" s="1">
        <v>12130.4</v>
      </c>
      <c r="G206" s="1">
        <v>21</v>
      </c>
      <c r="H206" s="1">
        <v>14677.784</v>
      </c>
      <c r="I206" s="1">
        <v>485216</v>
      </c>
    </row>
    <row r="207" spans="1:9" x14ac:dyDescent="0.3">
      <c r="A207" s="1" t="s">
        <v>263</v>
      </c>
      <c r="B207" s="2">
        <v>45832</v>
      </c>
      <c r="C207" s="1" t="s">
        <v>254</v>
      </c>
      <c r="D207" s="1" t="s">
        <v>172</v>
      </c>
      <c r="E207" s="1">
        <v>50</v>
      </c>
      <c r="F207" s="1">
        <v>7702.5</v>
      </c>
      <c r="G207" s="1">
        <v>21</v>
      </c>
      <c r="H207" s="1">
        <v>9320.0249999999996</v>
      </c>
      <c r="I207" s="1">
        <v>385125</v>
      </c>
    </row>
    <row r="208" spans="1:9" x14ac:dyDescent="0.3">
      <c r="A208" s="1" t="s">
        <v>264</v>
      </c>
      <c r="B208" s="2">
        <v>45833</v>
      </c>
      <c r="C208" s="1" t="s">
        <v>265</v>
      </c>
      <c r="D208" s="1" t="s">
        <v>50</v>
      </c>
      <c r="E208" s="1">
        <v>20</v>
      </c>
      <c r="F208" s="1">
        <v>11890.25</v>
      </c>
      <c r="G208" s="1">
        <v>21</v>
      </c>
      <c r="H208" s="1">
        <v>14387.202499999999</v>
      </c>
      <c r="I208" s="1">
        <v>237805</v>
      </c>
    </row>
    <row r="209" spans="1:9" x14ac:dyDescent="0.3">
      <c r="A209" s="1" t="s">
        <v>264</v>
      </c>
      <c r="B209" s="2">
        <v>45833</v>
      </c>
      <c r="C209" s="1" t="s">
        <v>265</v>
      </c>
      <c r="D209" s="1" t="s">
        <v>59</v>
      </c>
      <c r="E209" s="1">
        <v>20</v>
      </c>
      <c r="F209" s="1">
        <v>12284.6</v>
      </c>
      <c r="G209" s="1">
        <v>21</v>
      </c>
      <c r="H209" s="1">
        <v>14864.366</v>
      </c>
      <c r="I209" s="1">
        <v>245692</v>
      </c>
    </row>
    <row r="210" spans="1:9" x14ac:dyDescent="0.3">
      <c r="A210" s="1" t="s">
        <v>264</v>
      </c>
      <c r="B210" s="2">
        <v>45833</v>
      </c>
      <c r="C210" s="1" t="s">
        <v>265</v>
      </c>
      <c r="D210" s="1" t="s">
        <v>172</v>
      </c>
      <c r="E210" s="1">
        <v>50</v>
      </c>
      <c r="F210" s="1">
        <v>7767.5</v>
      </c>
      <c r="G210" s="1">
        <v>21</v>
      </c>
      <c r="H210" s="1">
        <v>9398.6749999999993</v>
      </c>
      <c r="I210" s="1">
        <v>388375</v>
      </c>
    </row>
    <row r="211" spans="1:9" x14ac:dyDescent="0.3">
      <c r="A211" s="1" t="s">
        <v>269</v>
      </c>
      <c r="B211" s="2">
        <v>45834</v>
      </c>
      <c r="C211" s="1" t="s">
        <v>270</v>
      </c>
      <c r="D211" s="1" t="s">
        <v>47</v>
      </c>
      <c r="E211" s="1">
        <v>50</v>
      </c>
      <c r="F211" s="1">
        <v>7434.85</v>
      </c>
      <c r="G211" s="1">
        <v>21</v>
      </c>
      <c r="H211" s="1">
        <v>8996.1684999999998</v>
      </c>
      <c r="I211" s="1">
        <v>371742.5</v>
      </c>
    </row>
    <row r="212" spans="1:9" x14ac:dyDescent="0.3">
      <c r="A212" s="1" t="s">
        <v>269</v>
      </c>
      <c r="B212" s="2">
        <v>45834</v>
      </c>
      <c r="C212" s="1" t="s">
        <v>270</v>
      </c>
      <c r="D212" s="1" t="s">
        <v>30</v>
      </c>
      <c r="E212" s="1">
        <v>100</v>
      </c>
      <c r="F212" s="1">
        <v>7953</v>
      </c>
      <c r="G212" s="1">
        <v>21</v>
      </c>
      <c r="H212" s="1">
        <v>9623.1299999999992</v>
      </c>
      <c r="I212" s="1">
        <v>795300</v>
      </c>
    </row>
    <row r="213" spans="1:9" x14ac:dyDescent="0.3">
      <c r="A213" s="1" t="s">
        <v>275</v>
      </c>
      <c r="B213" s="2">
        <v>45835</v>
      </c>
      <c r="C213" s="1" t="s">
        <v>270</v>
      </c>
      <c r="D213" s="1" t="s">
        <v>30</v>
      </c>
      <c r="E213" s="1">
        <v>50</v>
      </c>
      <c r="F213" s="1">
        <v>7953</v>
      </c>
      <c r="G213" s="1">
        <v>21</v>
      </c>
      <c r="H213" s="1">
        <v>9623.1299999999992</v>
      </c>
      <c r="I213" s="1">
        <v>397650</v>
      </c>
    </row>
    <row r="214" spans="1:9" x14ac:dyDescent="0.3">
      <c r="A214" s="1" t="s">
        <v>275</v>
      </c>
      <c r="B214" s="2">
        <v>45835</v>
      </c>
      <c r="C214" s="1" t="s">
        <v>270</v>
      </c>
      <c r="D214" s="1" t="s">
        <v>59</v>
      </c>
      <c r="E214" s="1">
        <v>20</v>
      </c>
      <c r="F214" s="1">
        <v>12387.4</v>
      </c>
      <c r="G214" s="1">
        <v>21</v>
      </c>
      <c r="H214" s="1">
        <v>14988.754000000001</v>
      </c>
      <c r="I214" s="1">
        <v>247748</v>
      </c>
    </row>
    <row r="215" spans="1:9" x14ac:dyDescent="0.3">
      <c r="A215" s="1" t="s">
        <v>276</v>
      </c>
      <c r="B215" s="2">
        <v>45838</v>
      </c>
      <c r="C215" s="1" t="s">
        <v>270</v>
      </c>
      <c r="D215" s="1" t="s">
        <v>30</v>
      </c>
      <c r="E215" s="1">
        <v>50</v>
      </c>
      <c r="F215" s="1">
        <v>7953</v>
      </c>
      <c r="G215" s="1">
        <v>21</v>
      </c>
      <c r="H215" s="1">
        <v>9623.1299999999992</v>
      </c>
      <c r="I215" s="1">
        <v>397650</v>
      </c>
    </row>
    <row r="216" spans="1:9" x14ac:dyDescent="0.3">
      <c r="A216" s="1" t="s">
        <v>276</v>
      </c>
      <c r="B216" s="2">
        <v>45838</v>
      </c>
      <c r="C216" s="1" t="s">
        <v>270</v>
      </c>
      <c r="D216" s="1" t="s">
        <v>130</v>
      </c>
      <c r="E216" s="1">
        <v>25</v>
      </c>
      <c r="F216" s="1">
        <v>10820.9</v>
      </c>
      <c r="G216" s="1">
        <v>21</v>
      </c>
      <c r="H216" s="1">
        <v>13093.289000000001</v>
      </c>
      <c r="I216" s="1">
        <v>270522.5</v>
      </c>
    </row>
    <row r="217" spans="1:9" x14ac:dyDescent="0.3">
      <c r="A217" s="1" t="s">
        <v>276</v>
      </c>
      <c r="B217" s="2">
        <v>45838</v>
      </c>
      <c r="C217" s="1" t="s">
        <v>270</v>
      </c>
      <c r="D217" s="1" t="s">
        <v>84</v>
      </c>
      <c r="E217" s="1">
        <v>25</v>
      </c>
      <c r="F217" s="1">
        <v>9808.7000000000007</v>
      </c>
      <c r="G217" s="1">
        <v>21</v>
      </c>
      <c r="H217" s="1">
        <v>11868.527</v>
      </c>
      <c r="I217" s="1">
        <v>245217.5</v>
      </c>
    </row>
    <row r="218" spans="1:9" x14ac:dyDescent="0.3">
      <c r="A218" s="1" t="s">
        <v>292</v>
      </c>
      <c r="B218" s="2">
        <v>45839</v>
      </c>
      <c r="D218" t="s">
        <v>47</v>
      </c>
      <c r="E218" s="1">
        <v>50</v>
      </c>
      <c r="F218" s="1">
        <v>8019</v>
      </c>
      <c r="I218" s="1">
        <v>400950</v>
      </c>
    </row>
    <row r="219" spans="1:9" x14ac:dyDescent="0.3">
      <c r="A219" s="1" t="s">
        <v>283</v>
      </c>
      <c r="B219" s="2">
        <v>45840</v>
      </c>
      <c r="D219" t="s">
        <v>47</v>
      </c>
      <c r="E219" s="1">
        <v>50</v>
      </c>
      <c r="F219" s="1">
        <v>7619.95</v>
      </c>
      <c r="I219" s="1">
        <v>380997.5</v>
      </c>
    </row>
    <row r="220" spans="1:9" x14ac:dyDescent="0.3">
      <c r="A220" s="1" t="s">
        <v>293</v>
      </c>
      <c r="B220" s="2">
        <v>45841</v>
      </c>
      <c r="D220" t="s">
        <v>47</v>
      </c>
      <c r="E220" s="1">
        <v>100</v>
      </c>
      <c r="F220" s="1">
        <v>8217</v>
      </c>
      <c r="I220" s="1">
        <v>821700</v>
      </c>
    </row>
    <row r="221" spans="1:9" x14ac:dyDescent="0.3">
      <c r="A221" s="1" t="s">
        <v>293</v>
      </c>
      <c r="B221" s="2">
        <v>45841</v>
      </c>
      <c r="D221" t="s">
        <v>47</v>
      </c>
      <c r="E221" s="1">
        <v>20</v>
      </c>
      <c r="F221" s="1">
        <v>12387.75</v>
      </c>
      <c r="I221" s="1">
        <v>247755</v>
      </c>
    </row>
    <row r="222" spans="1:9" x14ac:dyDescent="0.3">
      <c r="A222" s="1" t="s">
        <v>293</v>
      </c>
      <c r="B222" s="2">
        <v>45841</v>
      </c>
      <c r="D222" t="s">
        <v>47</v>
      </c>
      <c r="E222" s="1">
        <v>20</v>
      </c>
      <c r="F222" s="1">
        <v>12798.6</v>
      </c>
      <c r="I222" s="1">
        <v>255972</v>
      </c>
    </row>
    <row r="223" spans="1:9" x14ac:dyDescent="0.3">
      <c r="A223" s="1" t="s">
        <v>294</v>
      </c>
      <c r="B223" s="2">
        <v>45842</v>
      </c>
      <c r="D223" t="s">
        <v>47</v>
      </c>
      <c r="E223" s="1">
        <v>250</v>
      </c>
      <c r="F223" s="1">
        <v>8217</v>
      </c>
      <c r="I223" s="1">
        <v>2054250</v>
      </c>
    </row>
    <row r="224" spans="1:9" x14ac:dyDescent="0.3">
      <c r="A224" s="1" t="s">
        <v>286</v>
      </c>
      <c r="B224" s="2">
        <v>45845</v>
      </c>
      <c r="D224" t="s">
        <v>30</v>
      </c>
      <c r="E224" s="1">
        <v>50</v>
      </c>
      <c r="F224" s="1">
        <v>7774.2</v>
      </c>
      <c r="I224" s="1">
        <v>388710</v>
      </c>
    </row>
    <row r="225" spans="1:9" x14ac:dyDescent="0.3">
      <c r="A225" s="1" t="s">
        <v>286</v>
      </c>
      <c r="B225" s="2">
        <v>45845</v>
      </c>
      <c r="D225" t="s">
        <v>30</v>
      </c>
      <c r="E225" s="1">
        <v>25</v>
      </c>
      <c r="F225" s="1">
        <v>8139.6</v>
      </c>
      <c r="I225" s="1">
        <v>203490</v>
      </c>
    </row>
    <row r="226" spans="1:9" x14ac:dyDescent="0.3">
      <c r="A226" s="1" t="s">
        <v>295</v>
      </c>
      <c r="B226" s="2">
        <v>45846</v>
      </c>
      <c r="D226" t="s">
        <v>30</v>
      </c>
      <c r="E226" s="1">
        <v>75</v>
      </c>
      <c r="F226" s="1">
        <v>8448</v>
      </c>
      <c r="I226" s="1">
        <v>633600</v>
      </c>
    </row>
    <row r="227" spans="1:9" x14ac:dyDescent="0.3">
      <c r="A227" s="1" t="s">
        <v>296</v>
      </c>
      <c r="B227" s="2">
        <v>45848</v>
      </c>
      <c r="D227" t="s">
        <v>30</v>
      </c>
      <c r="E227" s="1">
        <v>50</v>
      </c>
      <c r="F227" s="1">
        <v>8415</v>
      </c>
      <c r="I227" s="1">
        <v>420750</v>
      </c>
    </row>
    <row r="228" spans="1:9" x14ac:dyDescent="0.3">
      <c r="A228" s="1" t="s">
        <v>296</v>
      </c>
      <c r="B228" s="2">
        <v>45848</v>
      </c>
      <c r="D228" t="s">
        <v>30</v>
      </c>
      <c r="E228" s="1">
        <v>20</v>
      </c>
      <c r="F228" s="1">
        <v>12686.25</v>
      </c>
      <c r="I228" s="1">
        <v>253725</v>
      </c>
    </row>
    <row r="229" spans="1:9" x14ac:dyDescent="0.3">
      <c r="A229" s="1" t="s">
        <v>296</v>
      </c>
      <c r="B229" s="2">
        <v>45848</v>
      </c>
      <c r="D229" t="s">
        <v>30</v>
      </c>
      <c r="E229" s="1">
        <v>25</v>
      </c>
      <c r="F229" s="1">
        <v>10378.5</v>
      </c>
      <c r="I229" s="1">
        <v>259462.5</v>
      </c>
    </row>
    <row r="230" spans="1:9" x14ac:dyDescent="0.3">
      <c r="A230" s="1" t="s">
        <v>287</v>
      </c>
      <c r="B230" s="2">
        <v>45849</v>
      </c>
      <c r="D230" t="s">
        <v>30</v>
      </c>
      <c r="E230" s="1">
        <v>50</v>
      </c>
      <c r="F230" s="1">
        <v>7866.75</v>
      </c>
      <c r="I230" s="1">
        <v>393337.5</v>
      </c>
    </row>
    <row r="231" spans="1:9" x14ac:dyDescent="0.3">
      <c r="A231" s="1" t="s">
        <v>287</v>
      </c>
      <c r="B231" s="2">
        <v>45849</v>
      </c>
      <c r="D231" t="s">
        <v>30</v>
      </c>
      <c r="E231" s="1">
        <v>100</v>
      </c>
      <c r="F231" s="1">
        <v>8382</v>
      </c>
      <c r="I231" s="1">
        <v>838200</v>
      </c>
    </row>
    <row r="232" spans="1:9" x14ac:dyDescent="0.3">
      <c r="A232" s="1" t="s">
        <v>287</v>
      </c>
      <c r="B232" s="2">
        <v>45849</v>
      </c>
      <c r="D232" t="s">
        <v>30</v>
      </c>
      <c r="E232" s="1">
        <v>20</v>
      </c>
      <c r="F232" s="1">
        <v>12686.25</v>
      </c>
      <c r="I232" s="1">
        <v>253725</v>
      </c>
    </row>
    <row r="233" spans="1:9" x14ac:dyDescent="0.3">
      <c r="A233" s="1" t="s">
        <v>287</v>
      </c>
      <c r="B233" s="2">
        <v>45849</v>
      </c>
      <c r="D233" t="s">
        <v>30</v>
      </c>
      <c r="E233" s="1">
        <v>125</v>
      </c>
      <c r="F233" s="1">
        <v>12303.75</v>
      </c>
      <c r="I233" s="1">
        <v>1537968.75</v>
      </c>
    </row>
    <row r="234" spans="1:9" x14ac:dyDescent="0.3">
      <c r="A234" s="1" t="s">
        <v>297</v>
      </c>
      <c r="B234" s="2">
        <v>45852</v>
      </c>
      <c r="D234" t="s">
        <v>30</v>
      </c>
      <c r="E234" s="1">
        <v>75</v>
      </c>
      <c r="F234" s="1">
        <v>8415</v>
      </c>
      <c r="I234" s="1">
        <v>631125</v>
      </c>
    </row>
    <row r="235" spans="1:9" x14ac:dyDescent="0.3">
      <c r="A235" s="1" t="s">
        <v>288</v>
      </c>
      <c r="B235" s="2">
        <v>45853</v>
      </c>
      <c r="D235" t="s">
        <v>30</v>
      </c>
      <c r="E235" s="1">
        <v>25</v>
      </c>
      <c r="F235" s="1">
        <v>7990.15</v>
      </c>
      <c r="I235" s="1">
        <v>199753.75</v>
      </c>
    </row>
    <row r="236" spans="1:9" x14ac:dyDescent="0.3">
      <c r="A236" s="1" t="s">
        <v>288</v>
      </c>
      <c r="B236" s="2">
        <v>45853</v>
      </c>
      <c r="D236" t="s">
        <v>50</v>
      </c>
      <c r="E236" s="1">
        <v>20</v>
      </c>
      <c r="F236" s="1">
        <v>13312.6</v>
      </c>
      <c r="I236" s="1">
        <v>266252</v>
      </c>
    </row>
    <row r="237" spans="1:9" x14ac:dyDescent="0.3">
      <c r="A237" s="1" t="s">
        <v>298</v>
      </c>
      <c r="B237" s="2">
        <v>45854</v>
      </c>
      <c r="D237" t="s">
        <v>50</v>
      </c>
      <c r="E237" s="1">
        <v>75</v>
      </c>
      <c r="F237" s="1">
        <v>8448</v>
      </c>
      <c r="I237" s="1">
        <v>633600</v>
      </c>
    </row>
    <row r="238" spans="1:9" x14ac:dyDescent="0.3">
      <c r="A238" s="1" t="s">
        <v>298</v>
      </c>
      <c r="B238" s="2">
        <v>45854</v>
      </c>
      <c r="D238" t="s">
        <v>50</v>
      </c>
      <c r="E238" s="1">
        <v>20</v>
      </c>
      <c r="F238" s="1">
        <v>13158.4</v>
      </c>
      <c r="I238" s="1">
        <v>263168</v>
      </c>
    </row>
    <row r="239" spans="1:9" x14ac:dyDescent="0.3">
      <c r="A239" s="1" t="s">
        <v>298</v>
      </c>
      <c r="B239" s="2">
        <v>45854</v>
      </c>
      <c r="D239" t="s">
        <v>50</v>
      </c>
      <c r="E239" s="1">
        <v>25</v>
      </c>
      <c r="F239" s="1">
        <v>8268.7999999999993</v>
      </c>
      <c r="I239" s="1">
        <v>206720</v>
      </c>
    </row>
    <row r="240" spans="1:9" x14ac:dyDescent="0.3">
      <c r="A240" s="1" t="s">
        <v>298</v>
      </c>
      <c r="B240" s="2">
        <v>45854</v>
      </c>
      <c r="D240" t="s">
        <v>59</v>
      </c>
      <c r="E240" s="1">
        <v>125</v>
      </c>
      <c r="F240" s="1">
        <v>7897.6</v>
      </c>
      <c r="I240" s="1">
        <v>987200</v>
      </c>
    </row>
    <row r="241" spans="1:9" x14ac:dyDescent="0.3">
      <c r="A241" s="1" t="s">
        <v>289</v>
      </c>
      <c r="B241" s="2">
        <v>45859</v>
      </c>
      <c r="D241" t="s">
        <v>59</v>
      </c>
      <c r="E241" s="1">
        <v>75</v>
      </c>
      <c r="F241" s="1">
        <v>8021</v>
      </c>
      <c r="I241" s="1">
        <v>601575</v>
      </c>
    </row>
    <row r="242" spans="1:9" x14ac:dyDescent="0.3">
      <c r="A242" s="1" t="s">
        <v>299</v>
      </c>
      <c r="B242" s="2">
        <v>45860</v>
      </c>
      <c r="D242" t="s">
        <v>59</v>
      </c>
      <c r="E242" s="1">
        <v>125</v>
      </c>
      <c r="F242" s="1">
        <v>8580</v>
      </c>
      <c r="I242" s="1">
        <v>1072500</v>
      </c>
    </row>
    <row r="243" spans="1:9" x14ac:dyDescent="0.3">
      <c r="A243" s="1" t="s">
        <v>299</v>
      </c>
      <c r="B243" s="2">
        <v>45860</v>
      </c>
      <c r="D243" t="s">
        <v>59</v>
      </c>
      <c r="E243" s="1">
        <v>25</v>
      </c>
      <c r="F243" s="1">
        <v>10660</v>
      </c>
      <c r="I243" s="1">
        <v>266500</v>
      </c>
    </row>
    <row r="244" spans="1:9" x14ac:dyDescent="0.3">
      <c r="A244" s="1" t="s">
        <v>290</v>
      </c>
      <c r="B244" s="2">
        <v>45861</v>
      </c>
      <c r="D244" t="s">
        <v>59</v>
      </c>
      <c r="E244" s="1">
        <v>50</v>
      </c>
      <c r="F244" s="1">
        <v>7866.75</v>
      </c>
      <c r="I244" s="1">
        <v>393337.5</v>
      </c>
    </row>
    <row r="245" spans="1:9" x14ac:dyDescent="0.3">
      <c r="A245" s="1" t="s">
        <v>290</v>
      </c>
      <c r="B245" s="2">
        <v>45861</v>
      </c>
      <c r="D245" t="s">
        <v>59</v>
      </c>
      <c r="E245" s="1">
        <v>40</v>
      </c>
      <c r="F245" s="1">
        <v>13107</v>
      </c>
      <c r="I245" s="1">
        <v>524280</v>
      </c>
    </row>
    <row r="246" spans="1:9" x14ac:dyDescent="0.3">
      <c r="A246" s="1" t="s">
        <v>290</v>
      </c>
      <c r="B246" s="2">
        <v>45861</v>
      </c>
      <c r="D246" t="s">
        <v>62</v>
      </c>
      <c r="E246" s="1">
        <v>75</v>
      </c>
      <c r="F246" s="1">
        <v>10493.25</v>
      </c>
      <c r="I246" s="1">
        <v>786993.75</v>
      </c>
    </row>
    <row r="247" spans="1:9" x14ac:dyDescent="0.3">
      <c r="A247" s="1" t="s">
        <v>300</v>
      </c>
      <c r="B247" s="2">
        <v>45863</v>
      </c>
      <c r="D247" t="s">
        <v>62</v>
      </c>
      <c r="E247" s="1">
        <v>50</v>
      </c>
      <c r="F247" s="1">
        <v>8481</v>
      </c>
      <c r="I247" s="1">
        <v>424050</v>
      </c>
    </row>
    <row r="248" spans="1:9" x14ac:dyDescent="0.3">
      <c r="A248" s="1" t="s">
        <v>300</v>
      </c>
      <c r="B248" s="2">
        <v>45863</v>
      </c>
      <c r="D248" t="s">
        <v>421</v>
      </c>
      <c r="E248" s="1">
        <v>40</v>
      </c>
      <c r="F248" s="1">
        <v>12785.75</v>
      </c>
      <c r="I248" s="1">
        <v>511430</v>
      </c>
    </row>
    <row r="249" spans="1:9" x14ac:dyDescent="0.3">
      <c r="A249" s="1" t="s">
        <v>301</v>
      </c>
      <c r="B249" s="2">
        <v>45868</v>
      </c>
      <c r="D249" t="s">
        <v>84</v>
      </c>
      <c r="E249" s="1">
        <v>100</v>
      </c>
      <c r="F249" s="1">
        <v>8580</v>
      </c>
      <c r="I249" s="1">
        <v>858000</v>
      </c>
    </row>
    <row r="250" spans="1:9" x14ac:dyDescent="0.3">
      <c r="A250" s="1" t="s">
        <v>301</v>
      </c>
      <c r="B250" s="2">
        <v>45868</v>
      </c>
      <c r="D250" t="s">
        <v>423</v>
      </c>
      <c r="E250" s="1">
        <v>20</v>
      </c>
      <c r="F250" s="1">
        <v>13364</v>
      </c>
      <c r="I250" s="1">
        <v>267280</v>
      </c>
    </row>
    <row r="251" spans="1:9" x14ac:dyDescent="0.3">
      <c r="A251" s="1" t="s">
        <v>302</v>
      </c>
      <c r="B251" s="2">
        <v>45869</v>
      </c>
      <c r="D251" t="s">
        <v>172</v>
      </c>
      <c r="E251" s="1">
        <v>75</v>
      </c>
      <c r="F251" s="1">
        <v>8745</v>
      </c>
      <c r="I251" s="1">
        <v>655875</v>
      </c>
    </row>
    <row r="252" spans="1:9" x14ac:dyDescent="0.3">
      <c r="A252" s="1" t="s">
        <v>302</v>
      </c>
      <c r="B252" s="2">
        <v>45869</v>
      </c>
      <c r="D252" t="s">
        <v>424</v>
      </c>
      <c r="E252" s="1">
        <v>20</v>
      </c>
      <c r="F252" s="1">
        <v>13621</v>
      </c>
      <c r="I252" s="1">
        <v>272420</v>
      </c>
    </row>
    <row r="253" spans="1:9" x14ac:dyDescent="0.3">
      <c r="A253" s="4" t="s">
        <v>314</v>
      </c>
      <c r="B253" s="5">
        <v>45870</v>
      </c>
      <c r="D253" t="s">
        <v>47</v>
      </c>
      <c r="E253" s="4">
        <v>25</v>
      </c>
      <c r="F253" s="4">
        <v>8514.6</v>
      </c>
      <c r="I253" s="4">
        <v>212865</v>
      </c>
    </row>
    <row r="254" spans="1:9" x14ac:dyDescent="0.3">
      <c r="A254" s="4" t="s">
        <v>314</v>
      </c>
      <c r="B254" s="5">
        <v>45870</v>
      </c>
      <c r="D254" t="s">
        <v>47</v>
      </c>
      <c r="E254" s="4">
        <v>40</v>
      </c>
      <c r="F254" s="4">
        <v>13731</v>
      </c>
      <c r="I254" s="4">
        <v>549240</v>
      </c>
    </row>
    <row r="255" spans="1:9" x14ac:dyDescent="0.3">
      <c r="A255" s="4" t="s">
        <v>325</v>
      </c>
      <c r="B255" s="5">
        <v>45874</v>
      </c>
      <c r="D255" t="s">
        <v>47</v>
      </c>
      <c r="E255" s="4">
        <v>20</v>
      </c>
      <c r="F255" s="4">
        <v>14083.6</v>
      </c>
      <c r="I255" s="4">
        <v>281672</v>
      </c>
    </row>
    <row r="256" spans="1:9" x14ac:dyDescent="0.3">
      <c r="A256" s="4" t="s">
        <v>325</v>
      </c>
      <c r="B256" s="5">
        <v>45874</v>
      </c>
      <c r="D256" t="s">
        <v>47</v>
      </c>
      <c r="E256" s="4">
        <v>25</v>
      </c>
      <c r="F256" s="4">
        <v>11275.1</v>
      </c>
      <c r="I256" s="4">
        <v>281877.5</v>
      </c>
    </row>
    <row r="257" spans="1:9" x14ac:dyDescent="0.3">
      <c r="A257" s="4" t="s">
        <v>325</v>
      </c>
      <c r="B257" s="5">
        <v>45874</v>
      </c>
      <c r="D257" t="s">
        <v>47</v>
      </c>
      <c r="E257" s="4">
        <v>25</v>
      </c>
      <c r="F257" s="4">
        <v>13563</v>
      </c>
      <c r="I257" s="4">
        <v>339075</v>
      </c>
    </row>
    <row r="258" spans="1:9" x14ac:dyDescent="0.3">
      <c r="A258" s="4" t="s">
        <v>324</v>
      </c>
      <c r="B258" s="5">
        <v>45877</v>
      </c>
      <c r="D258" t="s">
        <v>30</v>
      </c>
      <c r="E258" s="4">
        <v>20</v>
      </c>
      <c r="F258" s="4">
        <v>13333</v>
      </c>
      <c r="I258" s="4">
        <v>266660</v>
      </c>
    </row>
    <row r="259" spans="1:9" x14ac:dyDescent="0.3">
      <c r="A259" s="4" t="s">
        <v>324</v>
      </c>
      <c r="B259" s="5">
        <v>45877</v>
      </c>
      <c r="D259" t="s">
        <v>30</v>
      </c>
      <c r="E259" s="4">
        <v>20</v>
      </c>
      <c r="F259" s="4">
        <v>13775.2</v>
      </c>
      <c r="I259" s="4">
        <v>275504</v>
      </c>
    </row>
    <row r="260" spans="1:9" x14ac:dyDescent="0.3">
      <c r="A260" s="4" t="s">
        <v>324</v>
      </c>
      <c r="B260" s="5">
        <v>45877</v>
      </c>
      <c r="D260" t="s">
        <v>30</v>
      </c>
      <c r="E260" s="4">
        <v>25</v>
      </c>
      <c r="F260" s="4">
        <v>13266</v>
      </c>
      <c r="I260" s="4">
        <v>331650</v>
      </c>
    </row>
    <row r="261" spans="1:9" x14ac:dyDescent="0.3">
      <c r="A261" s="4" t="s">
        <v>328</v>
      </c>
      <c r="B261" s="5">
        <v>45880</v>
      </c>
      <c r="D261" t="s">
        <v>30</v>
      </c>
      <c r="E261" s="4">
        <v>25</v>
      </c>
      <c r="F261" s="4">
        <v>13216.5</v>
      </c>
      <c r="I261" s="4">
        <v>330412.5</v>
      </c>
    </row>
    <row r="262" spans="1:9" x14ac:dyDescent="0.3">
      <c r="A262" s="4" t="s">
        <v>319</v>
      </c>
      <c r="B262" s="5">
        <v>45882</v>
      </c>
      <c r="D262" t="s">
        <v>30</v>
      </c>
      <c r="E262" s="4">
        <v>50</v>
      </c>
      <c r="F262" s="4">
        <v>8778</v>
      </c>
      <c r="I262" s="4">
        <v>438900</v>
      </c>
    </row>
    <row r="263" spans="1:9" x14ac:dyDescent="0.3">
      <c r="A263" s="4" t="s">
        <v>319</v>
      </c>
      <c r="B263" s="5">
        <v>45882</v>
      </c>
      <c r="D263" t="s">
        <v>30</v>
      </c>
      <c r="E263" s="4">
        <v>50</v>
      </c>
      <c r="F263" s="4">
        <v>8645</v>
      </c>
      <c r="I263" s="4">
        <v>432250</v>
      </c>
    </row>
    <row r="264" spans="1:9" x14ac:dyDescent="0.3">
      <c r="A264" s="4" t="s">
        <v>315</v>
      </c>
      <c r="B264" s="5">
        <v>45883</v>
      </c>
      <c r="D264" t="s">
        <v>30</v>
      </c>
      <c r="E264" s="4">
        <v>75</v>
      </c>
      <c r="F264" s="4">
        <v>8206.1</v>
      </c>
      <c r="I264" s="4">
        <v>615457.5</v>
      </c>
    </row>
    <row r="265" spans="1:9" x14ac:dyDescent="0.3">
      <c r="A265" s="4" t="s">
        <v>315</v>
      </c>
      <c r="B265" s="5">
        <v>45883</v>
      </c>
      <c r="D265" t="s">
        <v>50</v>
      </c>
      <c r="E265" s="4">
        <v>75</v>
      </c>
      <c r="F265" s="4">
        <v>8645</v>
      </c>
      <c r="I265" s="4">
        <v>648375</v>
      </c>
    </row>
    <row r="266" spans="1:9" x14ac:dyDescent="0.3">
      <c r="A266" s="4" t="s">
        <v>320</v>
      </c>
      <c r="B266" s="5">
        <v>45884</v>
      </c>
      <c r="D266" t="s">
        <v>50</v>
      </c>
      <c r="E266" s="4">
        <v>75</v>
      </c>
      <c r="F266" s="4">
        <v>8646</v>
      </c>
      <c r="I266" s="4">
        <v>648450</v>
      </c>
    </row>
    <row r="267" spans="1:9" x14ac:dyDescent="0.3">
      <c r="A267" s="4" t="s">
        <v>320</v>
      </c>
      <c r="B267" s="5">
        <v>45884</v>
      </c>
      <c r="D267" t="s">
        <v>50</v>
      </c>
      <c r="E267" s="4">
        <v>20</v>
      </c>
      <c r="F267" s="4">
        <v>13466.8</v>
      </c>
      <c r="I267" s="4">
        <v>269336</v>
      </c>
    </row>
    <row r="268" spans="1:9" x14ac:dyDescent="0.3">
      <c r="A268" s="4" t="s">
        <v>320</v>
      </c>
      <c r="B268" s="5">
        <v>45884</v>
      </c>
      <c r="D268" t="s">
        <v>420</v>
      </c>
      <c r="E268" s="4">
        <v>75</v>
      </c>
      <c r="F268" s="4">
        <v>10480</v>
      </c>
      <c r="I268" s="4">
        <v>786000</v>
      </c>
    </row>
    <row r="269" spans="1:9" x14ac:dyDescent="0.3">
      <c r="A269" s="4" t="s">
        <v>321</v>
      </c>
      <c r="B269" s="5">
        <v>45887</v>
      </c>
      <c r="D269" t="s">
        <v>420</v>
      </c>
      <c r="E269" s="4">
        <v>50</v>
      </c>
      <c r="F269" s="4">
        <v>8646</v>
      </c>
      <c r="I269" s="4">
        <v>432300</v>
      </c>
    </row>
    <row r="270" spans="1:9" x14ac:dyDescent="0.3">
      <c r="A270" s="4" t="s">
        <v>321</v>
      </c>
      <c r="B270" s="5">
        <v>45887</v>
      </c>
      <c r="D270" t="s">
        <v>420</v>
      </c>
      <c r="E270" s="4">
        <v>20</v>
      </c>
      <c r="F270" s="4">
        <v>13466.8</v>
      </c>
      <c r="I270" s="4">
        <v>269336</v>
      </c>
    </row>
    <row r="271" spans="1:9" x14ac:dyDescent="0.3">
      <c r="A271" s="4" t="s">
        <v>331</v>
      </c>
      <c r="B271" s="5">
        <v>45887</v>
      </c>
      <c r="D271" t="s">
        <v>420</v>
      </c>
      <c r="E271" s="4">
        <v>25</v>
      </c>
      <c r="F271" s="4">
        <v>13296.5</v>
      </c>
      <c r="I271" s="4">
        <v>332412.5</v>
      </c>
    </row>
    <row r="272" spans="1:9" x14ac:dyDescent="0.3">
      <c r="A272" s="4" t="s">
        <v>316</v>
      </c>
      <c r="B272" s="5">
        <v>45888</v>
      </c>
      <c r="D272" t="s">
        <v>420</v>
      </c>
      <c r="E272" s="4">
        <v>75</v>
      </c>
      <c r="F272" s="4">
        <v>8113.55</v>
      </c>
      <c r="I272" s="4">
        <v>608516.25</v>
      </c>
    </row>
    <row r="273" spans="1:9" x14ac:dyDescent="0.3">
      <c r="A273" s="4" t="s">
        <v>317</v>
      </c>
      <c r="B273" s="5">
        <v>45889</v>
      </c>
      <c r="D273" t="s">
        <v>420</v>
      </c>
      <c r="E273" s="4">
        <v>50</v>
      </c>
      <c r="F273" s="4">
        <v>8113.55</v>
      </c>
      <c r="I273" s="4">
        <v>405677.5</v>
      </c>
    </row>
    <row r="274" spans="1:9" x14ac:dyDescent="0.3">
      <c r="A274" s="4" t="s">
        <v>317</v>
      </c>
      <c r="B274" s="5">
        <v>45889</v>
      </c>
      <c r="D274" t="s">
        <v>420</v>
      </c>
      <c r="E274" s="4">
        <v>75</v>
      </c>
      <c r="F274" s="4">
        <v>8679</v>
      </c>
      <c r="I274" s="4">
        <v>650925</v>
      </c>
    </row>
    <row r="275" spans="1:9" x14ac:dyDescent="0.3">
      <c r="A275" s="4" t="s">
        <v>317</v>
      </c>
      <c r="B275" s="5">
        <v>45889</v>
      </c>
      <c r="D275" t="s">
        <v>130</v>
      </c>
      <c r="E275" s="4">
        <v>20</v>
      </c>
      <c r="F275" s="4">
        <v>13518.2</v>
      </c>
      <c r="I275" s="4">
        <v>270364</v>
      </c>
    </row>
    <row r="276" spans="1:9" x14ac:dyDescent="0.3">
      <c r="A276" s="4" t="s">
        <v>322</v>
      </c>
      <c r="B276" s="5">
        <v>45891</v>
      </c>
      <c r="D276" t="s">
        <v>421</v>
      </c>
      <c r="E276" s="4">
        <v>75</v>
      </c>
      <c r="F276" s="4">
        <v>8745</v>
      </c>
      <c r="I276" s="4">
        <v>655875</v>
      </c>
    </row>
    <row r="277" spans="1:9" x14ac:dyDescent="0.3">
      <c r="A277" s="4" t="s">
        <v>322</v>
      </c>
      <c r="B277" s="5">
        <v>45891</v>
      </c>
      <c r="D277" t="s">
        <v>421</v>
      </c>
      <c r="E277" s="4">
        <v>20</v>
      </c>
      <c r="F277" s="4">
        <v>13183.75</v>
      </c>
      <c r="I277" s="4">
        <v>263675</v>
      </c>
    </row>
    <row r="278" spans="1:9" x14ac:dyDescent="0.3">
      <c r="A278" s="4" t="s">
        <v>322</v>
      </c>
      <c r="B278" s="5">
        <v>45891</v>
      </c>
      <c r="D278" t="s">
        <v>236</v>
      </c>
      <c r="E278" s="4">
        <v>25</v>
      </c>
      <c r="F278" s="4">
        <v>10904.75</v>
      </c>
      <c r="I278" s="4">
        <v>272618.75</v>
      </c>
    </row>
    <row r="279" spans="1:9" x14ac:dyDescent="0.3">
      <c r="A279" s="4" t="s">
        <v>323</v>
      </c>
      <c r="B279" s="5">
        <v>45895</v>
      </c>
      <c r="D279" t="s">
        <v>236</v>
      </c>
      <c r="E279" s="4">
        <v>75</v>
      </c>
      <c r="F279" s="4">
        <v>9042</v>
      </c>
      <c r="I279" s="4">
        <v>678150</v>
      </c>
    </row>
    <row r="280" spans="1:9" x14ac:dyDescent="0.3">
      <c r="A280" s="4" t="s">
        <v>323</v>
      </c>
      <c r="B280" s="5">
        <v>45895</v>
      </c>
      <c r="D280" t="s">
        <v>236</v>
      </c>
      <c r="E280" s="4">
        <v>20</v>
      </c>
      <c r="F280" s="4">
        <v>14083.6</v>
      </c>
      <c r="I280" s="4">
        <v>281672</v>
      </c>
    </row>
    <row r="281" spans="1:9" x14ac:dyDescent="0.3">
      <c r="A281" s="4" t="s">
        <v>323</v>
      </c>
      <c r="B281" s="5">
        <v>45895</v>
      </c>
      <c r="D281" t="s">
        <v>32</v>
      </c>
      <c r="E281" s="4">
        <v>75</v>
      </c>
      <c r="F281" s="4">
        <v>8905</v>
      </c>
      <c r="I281" s="4">
        <v>667875</v>
      </c>
    </row>
    <row r="282" spans="1:9" x14ac:dyDescent="0.3">
      <c r="A282" s="4" t="s">
        <v>318</v>
      </c>
      <c r="B282" s="5">
        <v>45898</v>
      </c>
      <c r="D282" t="s">
        <v>260</v>
      </c>
      <c r="E282" s="4">
        <v>50</v>
      </c>
      <c r="F282" s="4">
        <v>8298.65</v>
      </c>
      <c r="I282" s="4">
        <v>414932.5</v>
      </c>
    </row>
    <row r="283" spans="1:9" x14ac:dyDescent="0.3">
      <c r="A283" s="4" t="s">
        <v>318</v>
      </c>
      <c r="B283" s="5">
        <v>45898</v>
      </c>
      <c r="D283" t="s">
        <v>172</v>
      </c>
      <c r="E283" s="4">
        <v>20</v>
      </c>
      <c r="F283" s="4">
        <v>13826.6</v>
      </c>
      <c r="I283" s="4">
        <v>276532</v>
      </c>
    </row>
    <row r="284" spans="1:9" x14ac:dyDescent="0.3">
      <c r="A284" s="4" t="s">
        <v>326</v>
      </c>
      <c r="B284" s="5">
        <v>45898</v>
      </c>
      <c r="D284" t="s">
        <v>172</v>
      </c>
      <c r="E284" s="4">
        <v>25</v>
      </c>
      <c r="F284" s="4">
        <v>12212.8</v>
      </c>
      <c r="I284" s="4">
        <v>305320</v>
      </c>
    </row>
    <row r="285" spans="1:9" x14ac:dyDescent="0.3">
      <c r="A285" s="4" t="s">
        <v>333</v>
      </c>
      <c r="B285" s="5">
        <v>45901</v>
      </c>
      <c r="D285" t="s">
        <v>47</v>
      </c>
      <c r="E285" s="4">
        <v>25</v>
      </c>
      <c r="F285" s="4">
        <v>8391.2000000000007</v>
      </c>
      <c r="I285" s="4">
        <v>209780</v>
      </c>
    </row>
    <row r="286" spans="1:9" x14ac:dyDescent="0.3">
      <c r="A286" s="4" t="s">
        <v>333</v>
      </c>
      <c r="B286" s="5">
        <v>45901</v>
      </c>
      <c r="D286" t="s">
        <v>47</v>
      </c>
      <c r="E286" s="4">
        <v>20</v>
      </c>
      <c r="F286" s="4">
        <v>13532</v>
      </c>
      <c r="I286" s="4">
        <v>270640</v>
      </c>
    </row>
    <row r="287" spans="1:9" x14ac:dyDescent="0.3">
      <c r="A287" s="4" t="s">
        <v>333</v>
      </c>
      <c r="B287" s="5">
        <v>45901</v>
      </c>
      <c r="D287" t="s">
        <v>47</v>
      </c>
      <c r="E287" s="4">
        <v>75</v>
      </c>
      <c r="F287" s="4">
        <v>10880</v>
      </c>
      <c r="I287" s="4">
        <v>816000</v>
      </c>
    </row>
    <row r="288" spans="1:9" x14ac:dyDescent="0.3">
      <c r="A288" s="4" t="s">
        <v>341</v>
      </c>
      <c r="B288" s="5">
        <v>45902</v>
      </c>
      <c r="D288" t="s">
        <v>47</v>
      </c>
      <c r="E288" s="4">
        <v>125</v>
      </c>
      <c r="F288" s="4">
        <v>9141</v>
      </c>
      <c r="I288" s="4">
        <v>1142625</v>
      </c>
    </row>
    <row r="289" spans="1:9" x14ac:dyDescent="0.3">
      <c r="A289" s="4" t="s">
        <v>334</v>
      </c>
      <c r="B289" s="5">
        <v>45903</v>
      </c>
      <c r="D289" t="s">
        <v>47</v>
      </c>
      <c r="E289" s="4">
        <v>50</v>
      </c>
      <c r="F289" s="4">
        <v>8483.75</v>
      </c>
      <c r="I289" s="4">
        <v>424187.5</v>
      </c>
    </row>
    <row r="290" spans="1:9" x14ac:dyDescent="0.3">
      <c r="A290" s="4" t="s">
        <v>342</v>
      </c>
      <c r="B290" s="5">
        <v>45905</v>
      </c>
      <c r="D290" t="s">
        <v>47</v>
      </c>
      <c r="E290" s="4">
        <v>100</v>
      </c>
      <c r="F290" s="4">
        <v>10312.5</v>
      </c>
      <c r="I290" s="4">
        <v>1031250</v>
      </c>
    </row>
    <row r="291" spans="1:9" x14ac:dyDescent="0.3">
      <c r="A291" s="4" t="s">
        <v>342</v>
      </c>
      <c r="B291" s="5">
        <v>45905</v>
      </c>
      <c r="D291" t="s">
        <v>47</v>
      </c>
      <c r="E291" s="4">
        <v>20</v>
      </c>
      <c r="F291" s="4">
        <v>13681.25</v>
      </c>
      <c r="I291" s="4">
        <v>273625</v>
      </c>
    </row>
    <row r="292" spans="1:9" x14ac:dyDescent="0.3">
      <c r="A292" s="4" t="s">
        <v>349</v>
      </c>
      <c r="B292" s="5">
        <v>45908</v>
      </c>
      <c r="D292" t="s">
        <v>47</v>
      </c>
      <c r="E292" s="4">
        <v>20</v>
      </c>
      <c r="F292" s="4">
        <v>14186.4</v>
      </c>
      <c r="I292" s="4">
        <v>283728</v>
      </c>
    </row>
    <row r="293" spans="1:9" x14ac:dyDescent="0.3">
      <c r="A293" s="4" t="s">
        <v>349</v>
      </c>
      <c r="B293" s="5">
        <v>45908</v>
      </c>
      <c r="D293" t="s">
        <v>30</v>
      </c>
      <c r="E293" s="4">
        <v>25</v>
      </c>
      <c r="F293" s="4">
        <v>8914.7999999999993</v>
      </c>
      <c r="I293" s="4">
        <v>222870</v>
      </c>
    </row>
    <row r="294" spans="1:9" x14ac:dyDescent="0.3">
      <c r="A294" s="4" t="s">
        <v>346</v>
      </c>
      <c r="B294" s="5">
        <v>45912</v>
      </c>
      <c r="D294" t="s">
        <v>30</v>
      </c>
      <c r="E294" s="4">
        <v>20</v>
      </c>
      <c r="F294" s="4">
        <v>14377.75</v>
      </c>
      <c r="I294" s="4">
        <v>287555</v>
      </c>
    </row>
    <row r="295" spans="1:9" x14ac:dyDescent="0.3">
      <c r="A295" s="4" t="s">
        <v>350</v>
      </c>
      <c r="B295" s="5">
        <v>45912</v>
      </c>
      <c r="D295" t="s">
        <v>30</v>
      </c>
      <c r="E295" s="4">
        <v>20</v>
      </c>
      <c r="F295" s="4">
        <v>15060.2</v>
      </c>
      <c r="I295" s="4">
        <v>301204</v>
      </c>
    </row>
    <row r="296" spans="1:9" x14ac:dyDescent="0.3">
      <c r="A296" s="4" t="s">
        <v>346</v>
      </c>
      <c r="B296" s="5">
        <v>45912</v>
      </c>
      <c r="D296" t="s">
        <v>30</v>
      </c>
      <c r="E296" s="4">
        <v>75</v>
      </c>
      <c r="F296" s="4">
        <v>9392.5</v>
      </c>
      <c r="I296" s="4">
        <v>704437.5</v>
      </c>
    </row>
    <row r="297" spans="1:9" x14ac:dyDescent="0.3">
      <c r="A297" s="4" t="s">
        <v>335</v>
      </c>
      <c r="B297" s="5">
        <v>45915</v>
      </c>
      <c r="D297" t="s">
        <v>30</v>
      </c>
      <c r="E297" s="4">
        <v>50</v>
      </c>
      <c r="F297" s="4">
        <v>9039.0499999999993</v>
      </c>
      <c r="I297" s="4">
        <v>451952.5</v>
      </c>
    </row>
    <row r="298" spans="1:9" x14ac:dyDescent="0.3">
      <c r="A298" s="4" t="s">
        <v>335</v>
      </c>
      <c r="B298" s="5">
        <v>45915</v>
      </c>
      <c r="D298" t="s">
        <v>30</v>
      </c>
      <c r="E298" s="4">
        <v>125</v>
      </c>
      <c r="F298" s="4">
        <v>9669</v>
      </c>
      <c r="I298" s="4">
        <v>1208625</v>
      </c>
    </row>
    <row r="299" spans="1:9" x14ac:dyDescent="0.3">
      <c r="A299" s="4" t="s">
        <v>343</v>
      </c>
      <c r="B299" s="5">
        <v>45915</v>
      </c>
      <c r="D299" t="s">
        <v>30</v>
      </c>
      <c r="E299" s="4">
        <v>50</v>
      </c>
      <c r="F299" s="4">
        <v>9669</v>
      </c>
      <c r="I299" s="4">
        <v>483450</v>
      </c>
    </row>
    <row r="300" spans="1:9" x14ac:dyDescent="0.3">
      <c r="A300" s="4" t="s">
        <v>335</v>
      </c>
      <c r="B300" s="5">
        <v>45915</v>
      </c>
      <c r="D300" t="s">
        <v>50</v>
      </c>
      <c r="E300" s="4">
        <v>20</v>
      </c>
      <c r="F300" s="4">
        <v>15060.2</v>
      </c>
      <c r="I300" s="4">
        <v>301204</v>
      </c>
    </row>
    <row r="301" spans="1:9" x14ac:dyDescent="0.3">
      <c r="A301" s="4" t="s">
        <v>344</v>
      </c>
      <c r="B301" s="5">
        <v>45916</v>
      </c>
      <c r="D301" t="s">
        <v>50</v>
      </c>
      <c r="E301" s="4">
        <v>75</v>
      </c>
      <c r="F301" s="4">
        <v>9735</v>
      </c>
      <c r="I301" s="4">
        <v>730125</v>
      </c>
    </row>
    <row r="302" spans="1:9" x14ac:dyDescent="0.3">
      <c r="A302" s="4" t="s">
        <v>344</v>
      </c>
      <c r="B302" s="5">
        <v>45916</v>
      </c>
      <c r="D302" t="s">
        <v>50</v>
      </c>
      <c r="E302" s="4">
        <v>20</v>
      </c>
      <c r="F302" s="4">
        <v>15163</v>
      </c>
      <c r="I302" s="4">
        <v>303260</v>
      </c>
    </row>
    <row r="303" spans="1:9" x14ac:dyDescent="0.3">
      <c r="A303" s="4" t="s">
        <v>353</v>
      </c>
      <c r="B303" s="5">
        <v>45917</v>
      </c>
      <c r="D303" t="s">
        <v>50</v>
      </c>
      <c r="E303" s="4">
        <v>75</v>
      </c>
      <c r="F303" s="4">
        <v>9620</v>
      </c>
      <c r="I303" s="4">
        <v>721500</v>
      </c>
    </row>
    <row r="304" spans="1:9" x14ac:dyDescent="0.3">
      <c r="A304" s="4" t="s">
        <v>336</v>
      </c>
      <c r="B304" s="5">
        <v>45918</v>
      </c>
      <c r="D304" t="s">
        <v>50</v>
      </c>
      <c r="E304" s="4">
        <v>50</v>
      </c>
      <c r="F304" s="4">
        <v>9162.4500000000007</v>
      </c>
      <c r="I304" s="4">
        <v>458122.5</v>
      </c>
    </row>
    <row r="305" spans="1:9" x14ac:dyDescent="0.3">
      <c r="A305" s="4" t="s">
        <v>347</v>
      </c>
      <c r="B305" s="5">
        <v>45919</v>
      </c>
      <c r="D305" t="s">
        <v>420</v>
      </c>
      <c r="E305" s="4">
        <v>40</v>
      </c>
      <c r="F305" s="4">
        <v>14875.25</v>
      </c>
      <c r="I305" s="4">
        <v>595010</v>
      </c>
    </row>
    <row r="306" spans="1:9" x14ac:dyDescent="0.3">
      <c r="A306" s="4" t="s">
        <v>347</v>
      </c>
      <c r="B306" s="5">
        <v>45919</v>
      </c>
      <c r="D306" t="s">
        <v>420</v>
      </c>
      <c r="E306" s="4">
        <v>20</v>
      </c>
      <c r="F306" s="4">
        <v>15368.6</v>
      </c>
      <c r="I306" s="4">
        <v>307372</v>
      </c>
    </row>
    <row r="307" spans="1:9" x14ac:dyDescent="0.3">
      <c r="A307" s="4" t="s">
        <v>337</v>
      </c>
      <c r="B307" s="5">
        <v>45922</v>
      </c>
      <c r="D307" t="s">
        <v>420</v>
      </c>
      <c r="E307" s="4">
        <v>50</v>
      </c>
      <c r="F307" s="4">
        <v>9347.5499999999993</v>
      </c>
      <c r="I307" s="4">
        <v>467377.5</v>
      </c>
    </row>
    <row r="308" spans="1:9" x14ac:dyDescent="0.3">
      <c r="A308" s="4" t="s">
        <v>337</v>
      </c>
      <c r="B308" s="5">
        <v>45922</v>
      </c>
      <c r="D308" t="s">
        <v>420</v>
      </c>
      <c r="E308" s="4">
        <v>125</v>
      </c>
      <c r="F308" s="4">
        <v>9999</v>
      </c>
      <c r="I308" s="4">
        <v>1249875</v>
      </c>
    </row>
    <row r="309" spans="1:9" x14ac:dyDescent="0.3">
      <c r="A309" s="4" t="s">
        <v>337</v>
      </c>
      <c r="B309" s="5">
        <v>45922</v>
      </c>
      <c r="D309" t="s">
        <v>420</v>
      </c>
      <c r="E309" s="4">
        <v>20</v>
      </c>
      <c r="F309" s="4">
        <v>15574.2</v>
      </c>
      <c r="I309" s="4">
        <v>311484</v>
      </c>
    </row>
    <row r="310" spans="1:9" x14ac:dyDescent="0.3">
      <c r="A310" s="4" t="s">
        <v>337</v>
      </c>
      <c r="B310" s="5">
        <v>45922</v>
      </c>
      <c r="D310" t="s">
        <v>420</v>
      </c>
      <c r="E310" s="4">
        <v>25</v>
      </c>
      <c r="F310" s="4">
        <v>9786.9</v>
      </c>
      <c r="I310" s="4">
        <v>244672.5</v>
      </c>
    </row>
    <row r="311" spans="1:9" x14ac:dyDescent="0.3">
      <c r="A311" s="4" t="s">
        <v>345</v>
      </c>
      <c r="B311" s="5">
        <v>45923</v>
      </c>
      <c r="D311" t="s">
        <v>420</v>
      </c>
      <c r="E311" s="4">
        <v>100</v>
      </c>
      <c r="F311" s="4">
        <v>9438</v>
      </c>
      <c r="I311" s="4">
        <v>943800</v>
      </c>
    </row>
    <row r="312" spans="1:9" x14ac:dyDescent="0.3">
      <c r="A312" s="4" t="s">
        <v>351</v>
      </c>
      <c r="B312" s="5">
        <v>45923</v>
      </c>
      <c r="D312" t="s">
        <v>420</v>
      </c>
      <c r="E312" s="4">
        <v>40</v>
      </c>
      <c r="F312" s="4">
        <v>14700.4</v>
      </c>
      <c r="I312" s="4">
        <v>588016</v>
      </c>
    </row>
    <row r="313" spans="1:9" x14ac:dyDescent="0.3">
      <c r="A313" s="4" t="s">
        <v>351</v>
      </c>
      <c r="B313" s="5">
        <v>45923</v>
      </c>
      <c r="D313" t="s">
        <v>62</v>
      </c>
      <c r="E313" s="4">
        <v>1</v>
      </c>
      <c r="F313" s="4">
        <v>125840</v>
      </c>
      <c r="I313" s="4">
        <v>125840</v>
      </c>
    </row>
    <row r="314" spans="1:9" x14ac:dyDescent="0.3">
      <c r="A314" s="4" t="s">
        <v>354</v>
      </c>
      <c r="B314" s="5">
        <v>45924</v>
      </c>
      <c r="D314" t="s">
        <v>62</v>
      </c>
      <c r="E314" s="4">
        <v>75</v>
      </c>
      <c r="F314" s="4">
        <v>9002.5</v>
      </c>
      <c r="I314" s="4">
        <v>675187.5</v>
      </c>
    </row>
    <row r="315" spans="1:9" x14ac:dyDescent="0.3">
      <c r="A315" s="4" t="s">
        <v>338</v>
      </c>
      <c r="B315" s="5">
        <v>45925</v>
      </c>
      <c r="D315" t="s">
        <v>111</v>
      </c>
      <c r="E315" s="4">
        <v>25</v>
      </c>
      <c r="F315" s="4">
        <v>8391.2000000000007</v>
      </c>
      <c r="I315" s="4">
        <v>209780</v>
      </c>
    </row>
    <row r="316" spans="1:9" x14ac:dyDescent="0.3">
      <c r="A316" s="4" t="s">
        <v>338</v>
      </c>
      <c r="B316" s="5">
        <v>45925</v>
      </c>
      <c r="D316" t="s">
        <v>32</v>
      </c>
      <c r="E316" s="4">
        <v>25</v>
      </c>
      <c r="F316" s="4">
        <v>8840</v>
      </c>
      <c r="I316" s="4">
        <v>221000</v>
      </c>
    </row>
    <row r="317" spans="1:9" x14ac:dyDescent="0.3">
      <c r="A317" s="4" t="s">
        <v>348</v>
      </c>
      <c r="B317" s="5">
        <v>45926</v>
      </c>
      <c r="D317" t="s">
        <v>172</v>
      </c>
      <c r="E317" s="4">
        <v>40</v>
      </c>
      <c r="F317" s="4">
        <v>13482.25</v>
      </c>
      <c r="I317" s="4">
        <v>539290</v>
      </c>
    </row>
    <row r="318" spans="1:9" x14ac:dyDescent="0.3">
      <c r="A318" s="4" t="s">
        <v>339</v>
      </c>
      <c r="B318" s="5">
        <v>45929</v>
      </c>
      <c r="D318" t="s">
        <v>172</v>
      </c>
      <c r="E318" s="4">
        <v>25</v>
      </c>
      <c r="F318" s="4">
        <v>8329.5</v>
      </c>
      <c r="I318" s="4">
        <v>208237.5</v>
      </c>
    </row>
    <row r="319" spans="1:9" x14ac:dyDescent="0.3">
      <c r="A319" s="4" t="s">
        <v>339</v>
      </c>
      <c r="B319" s="5">
        <v>45929</v>
      </c>
      <c r="D319" t="s">
        <v>172</v>
      </c>
      <c r="E319" s="4">
        <v>20</v>
      </c>
      <c r="F319" s="4">
        <v>13878</v>
      </c>
      <c r="I319" s="4">
        <v>277560</v>
      </c>
    </row>
    <row r="320" spans="1:9" x14ac:dyDescent="0.3">
      <c r="A320" s="4" t="s">
        <v>340</v>
      </c>
      <c r="B320" s="5">
        <v>45930</v>
      </c>
      <c r="D320" t="s">
        <v>172</v>
      </c>
      <c r="E320" s="4">
        <v>75</v>
      </c>
      <c r="F320" s="4">
        <v>8514.6</v>
      </c>
      <c r="I320" s="4">
        <v>638595</v>
      </c>
    </row>
    <row r="321" spans="1:9" x14ac:dyDescent="0.3">
      <c r="A321" s="4" t="s">
        <v>363</v>
      </c>
      <c r="B321" s="5">
        <v>45931</v>
      </c>
      <c r="D321" t="s">
        <v>47</v>
      </c>
      <c r="E321" s="4">
        <v>100</v>
      </c>
      <c r="F321" s="4">
        <v>9240</v>
      </c>
      <c r="I321" s="4">
        <v>924000</v>
      </c>
    </row>
    <row r="322" spans="1:9" x14ac:dyDescent="0.3">
      <c r="A322" s="4" t="s">
        <v>363</v>
      </c>
      <c r="B322" s="5">
        <v>45931</v>
      </c>
      <c r="D322" t="s">
        <v>47</v>
      </c>
      <c r="E322" s="4">
        <v>20</v>
      </c>
      <c r="F322" s="4">
        <v>14392</v>
      </c>
      <c r="I322" s="4">
        <v>287840</v>
      </c>
    </row>
    <row r="323" spans="1:9" x14ac:dyDescent="0.3">
      <c r="A323" s="4" t="s">
        <v>355</v>
      </c>
      <c r="B323" s="5">
        <v>45932</v>
      </c>
      <c r="D323" t="s">
        <v>47</v>
      </c>
      <c r="E323" s="4">
        <v>50</v>
      </c>
      <c r="F323" s="4">
        <v>8946.5</v>
      </c>
      <c r="I323" s="4">
        <v>447325</v>
      </c>
    </row>
    <row r="324" spans="1:9" x14ac:dyDescent="0.3">
      <c r="A324" s="4" t="s">
        <v>364</v>
      </c>
      <c r="B324" s="5">
        <v>45933</v>
      </c>
      <c r="D324" t="s">
        <v>47</v>
      </c>
      <c r="E324" s="4">
        <v>75</v>
      </c>
      <c r="F324" s="4">
        <v>9570</v>
      </c>
      <c r="I324" s="4">
        <v>717750</v>
      </c>
    </row>
    <row r="325" spans="1:9" x14ac:dyDescent="0.3">
      <c r="A325" s="4" t="s">
        <v>364</v>
      </c>
      <c r="B325" s="5">
        <v>45933</v>
      </c>
      <c r="D325" t="s">
        <v>47</v>
      </c>
      <c r="E325" s="4">
        <v>20</v>
      </c>
      <c r="F325" s="4">
        <v>14427.5</v>
      </c>
      <c r="I325" s="4">
        <v>288550</v>
      </c>
    </row>
    <row r="326" spans="1:9" x14ac:dyDescent="0.3">
      <c r="A326" s="4" t="s">
        <v>364</v>
      </c>
      <c r="B326" s="5">
        <v>45933</v>
      </c>
      <c r="D326" t="s">
        <v>47</v>
      </c>
      <c r="E326" s="4">
        <v>25</v>
      </c>
      <c r="F326" s="4">
        <v>9425</v>
      </c>
      <c r="I326" s="4">
        <v>235625</v>
      </c>
    </row>
    <row r="327" spans="1:9" x14ac:dyDescent="0.3">
      <c r="A327" s="4" t="s">
        <v>356</v>
      </c>
      <c r="B327" s="5">
        <v>45936</v>
      </c>
      <c r="D327" t="s">
        <v>47</v>
      </c>
      <c r="E327" s="4">
        <v>50</v>
      </c>
      <c r="F327" s="4">
        <v>8946.5</v>
      </c>
      <c r="I327" s="4">
        <v>447325</v>
      </c>
    </row>
    <row r="328" spans="1:9" x14ac:dyDescent="0.3">
      <c r="A328" s="4" t="s">
        <v>356</v>
      </c>
      <c r="B328" s="5">
        <v>45936</v>
      </c>
      <c r="D328" t="s">
        <v>47</v>
      </c>
      <c r="E328" s="4">
        <v>20</v>
      </c>
      <c r="F328" s="4">
        <v>14906</v>
      </c>
      <c r="I328" s="4">
        <v>298120</v>
      </c>
    </row>
    <row r="329" spans="1:9" x14ac:dyDescent="0.3">
      <c r="A329" s="4" t="s">
        <v>365</v>
      </c>
      <c r="B329" s="5">
        <v>45938</v>
      </c>
      <c r="D329" t="s">
        <v>30</v>
      </c>
      <c r="E329" s="4">
        <v>125</v>
      </c>
      <c r="F329" s="4">
        <v>9457.5</v>
      </c>
      <c r="I329" s="4">
        <v>1182187.5</v>
      </c>
    </row>
    <row r="330" spans="1:9" x14ac:dyDescent="0.3">
      <c r="A330" s="4" t="s">
        <v>365</v>
      </c>
      <c r="B330" s="5">
        <v>45938</v>
      </c>
      <c r="D330" t="s">
        <v>30</v>
      </c>
      <c r="E330" s="4">
        <v>25</v>
      </c>
      <c r="F330" s="4">
        <v>13065.9</v>
      </c>
      <c r="I330" s="4">
        <v>326647.5</v>
      </c>
    </row>
    <row r="331" spans="1:9" x14ac:dyDescent="0.3">
      <c r="A331" s="4" t="s">
        <v>372</v>
      </c>
      <c r="B331" s="5">
        <v>45939</v>
      </c>
      <c r="D331" t="s">
        <v>30</v>
      </c>
      <c r="E331" s="4">
        <v>40</v>
      </c>
      <c r="F331" s="4">
        <v>14626.5</v>
      </c>
      <c r="I331" s="4">
        <v>585060</v>
      </c>
    </row>
    <row r="332" spans="1:9" x14ac:dyDescent="0.3">
      <c r="A332" s="4" t="s">
        <v>366</v>
      </c>
      <c r="B332" s="5">
        <v>45943</v>
      </c>
      <c r="D332" t="s">
        <v>30</v>
      </c>
      <c r="E332" s="4">
        <v>75</v>
      </c>
      <c r="F332" s="4">
        <v>9570</v>
      </c>
      <c r="I332" s="4">
        <v>717750</v>
      </c>
    </row>
    <row r="333" spans="1:9" x14ac:dyDescent="0.3">
      <c r="A333" s="4" t="s">
        <v>366</v>
      </c>
      <c r="B333" s="5">
        <v>45943</v>
      </c>
      <c r="D333" t="s">
        <v>30</v>
      </c>
      <c r="E333" s="4">
        <v>20</v>
      </c>
      <c r="F333" s="4">
        <v>14906</v>
      </c>
      <c r="I333" s="4">
        <v>298120</v>
      </c>
    </row>
    <row r="334" spans="1:9" x14ac:dyDescent="0.3">
      <c r="A334" s="4" t="s">
        <v>378</v>
      </c>
      <c r="B334" s="5">
        <v>45944</v>
      </c>
      <c r="D334" t="s">
        <v>30</v>
      </c>
      <c r="E334" s="4">
        <v>50</v>
      </c>
      <c r="F334" s="4">
        <v>8937.5</v>
      </c>
      <c r="I334" s="4">
        <v>446875</v>
      </c>
    </row>
    <row r="335" spans="1:9" x14ac:dyDescent="0.3">
      <c r="A335" s="4" t="s">
        <v>357</v>
      </c>
      <c r="B335" s="5">
        <v>45945</v>
      </c>
      <c r="D335" t="s">
        <v>30</v>
      </c>
      <c r="E335" s="4">
        <v>25</v>
      </c>
      <c r="F335" s="4">
        <v>8545.4500000000007</v>
      </c>
      <c r="I335" s="4">
        <v>213636.25</v>
      </c>
    </row>
    <row r="336" spans="1:9" x14ac:dyDescent="0.3">
      <c r="A336" s="4" t="s">
        <v>357</v>
      </c>
      <c r="B336" s="5">
        <v>45945</v>
      </c>
      <c r="D336" t="s">
        <v>30</v>
      </c>
      <c r="E336" s="4">
        <v>25</v>
      </c>
      <c r="F336" s="4">
        <v>8947.1</v>
      </c>
      <c r="I336" s="4">
        <v>223677.5</v>
      </c>
    </row>
    <row r="337" spans="1:9" x14ac:dyDescent="0.3">
      <c r="A337" s="4" t="s">
        <v>367</v>
      </c>
      <c r="B337" s="5">
        <v>45946</v>
      </c>
      <c r="D337" t="s">
        <v>30</v>
      </c>
      <c r="E337" s="4">
        <v>50</v>
      </c>
      <c r="F337" s="4">
        <v>9132.5</v>
      </c>
      <c r="I337" s="4">
        <v>456625</v>
      </c>
    </row>
    <row r="338" spans="1:9" x14ac:dyDescent="0.3">
      <c r="A338" s="4" t="s">
        <v>367</v>
      </c>
      <c r="B338" s="5">
        <v>45946</v>
      </c>
      <c r="D338" t="s">
        <v>30</v>
      </c>
      <c r="E338" s="4">
        <v>20</v>
      </c>
      <c r="F338" s="4">
        <v>14443.4</v>
      </c>
      <c r="I338" s="4">
        <v>288868</v>
      </c>
    </row>
    <row r="339" spans="1:9" x14ac:dyDescent="0.3">
      <c r="A339" s="4" t="s">
        <v>358</v>
      </c>
      <c r="B339" s="5">
        <v>45947</v>
      </c>
      <c r="D339" t="s">
        <v>30</v>
      </c>
      <c r="E339" s="4">
        <v>25</v>
      </c>
      <c r="F339" s="4">
        <v>8823.1</v>
      </c>
      <c r="I339" s="4">
        <v>220577.5</v>
      </c>
    </row>
    <row r="340" spans="1:9" x14ac:dyDescent="0.3">
      <c r="A340" s="4" t="s">
        <v>358</v>
      </c>
      <c r="B340" s="5">
        <v>45947</v>
      </c>
      <c r="D340" t="s">
        <v>50</v>
      </c>
      <c r="E340" s="4">
        <v>20</v>
      </c>
      <c r="F340" s="4">
        <v>14228.5</v>
      </c>
      <c r="I340" s="4">
        <v>284570</v>
      </c>
    </row>
    <row r="341" spans="1:9" x14ac:dyDescent="0.3">
      <c r="A341" s="4" t="s">
        <v>358</v>
      </c>
      <c r="B341" s="5">
        <v>45947</v>
      </c>
      <c r="D341" t="s">
        <v>50</v>
      </c>
      <c r="E341" s="4">
        <v>50</v>
      </c>
      <c r="F341" s="4">
        <v>11440</v>
      </c>
      <c r="I341" s="4">
        <v>572000</v>
      </c>
    </row>
    <row r="342" spans="1:9" x14ac:dyDescent="0.3">
      <c r="A342" s="4" t="s">
        <v>358</v>
      </c>
      <c r="B342" s="5">
        <v>45947</v>
      </c>
      <c r="D342" t="s">
        <v>50</v>
      </c>
      <c r="E342" s="4">
        <v>25</v>
      </c>
      <c r="F342" s="4">
        <v>8823.1</v>
      </c>
      <c r="I342" s="4">
        <v>220577.5</v>
      </c>
    </row>
    <row r="343" spans="1:9" x14ac:dyDescent="0.3">
      <c r="A343" s="4" t="s">
        <v>368</v>
      </c>
      <c r="B343" s="5">
        <v>45950</v>
      </c>
      <c r="D343" t="s">
        <v>50</v>
      </c>
      <c r="E343" s="4">
        <v>150</v>
      </c>
      <c r="F343" s="4">
        <v>9735</v>
      </c>
      <c r="I343" s="4">
        <v>1460250</v>
      </c>
    </row>
    <row r="344" spans="1:9" x14ac:dyDescent="0.3">
      <c r="A344" s="4" t="s">
        <v>368</v>
      </c>
      <c r="B344" s="5">
        <v>45950</v>
      </c>
      <c r="D344" t="s">
        <v>420</v>
      </c>
      <c r="E344" s="4">
        <v>20</v>
      </c>
      <c r="F344" s="4">
        <v>15163</v>
      </c>
      <c r="I344" s="4">
        <v>303260</v>
      </c>
    </row>
    <row r="345" spans="1:9" x14ac:dyDescent="0.3">
      <c r="A345" s="4" t="s">
        <v>368</v>
      </c>
      <c r="B345" s="5">
        <v>45950</v>
      </c>
      <c r="D345" t="s">
        <v>420</v>
      </c>
      <c r="E345" s="4">
        <v>25</v>
      </c>
      <c r="F345" s="4">
        <v>15089.25</v>
      </c>
      <c r="I345" s="4">
        <v>377231.25</v>
      </c>
    </row>
    <row r="346" spans="1:9" x14ac:dyDescent="0.3">
      <c r="A346" s="4" t="s">
        <v>368</v>
      </c>
      <c r="B346" s="5">
        <v>45950</v>
      </c>
      <c r="D346" t="s">
        <v>420</v>
      </c>
      <c r="E346" s="4">
        <v>50</v>
      </c>
      <c r="F346" s="4">
        <v>13245.5</v>
      </c>
      <c r="I346" s="4">
        <v>662275</v>
      </c>
    </row>
    <row r="347" spans="1:9" x14ac:dyDescent="0.3">
      <c r="A347" s="4" t="s">
        <v>375</v>
      </c>
      <c r="B347" s="5">
        <v>45950</v>
      </c>
      <c r="D347" t="s">
        <v>420</v>
      </c>
      <c r="E347" s="4">
        <v>25</v>
      </c>
      <c r="F347" s="4">
        <v>14956.5</v>
      </c>
      <c r="I347" s="4">
        <v>373912.5</v>
      </c>
    </row>
    <row r="348" spans="1:9" x14ac:dyDescent="0.3">
      <c r="A348" s="4" t="s">
        <v>377</v>
      </c>
      <c r="B348" s="5">
        <v>45950</v>
      </c>
      <c r="D348" t="s">
        <v>420</v>
      </c>
      <c r="E348" s="4">
        <v>50</v>
      </c>
      <c r="F348" s="4">
        <v>11960</v>
      </c>
      <c r="I348" s="4">
        <v>598000</v>
      </c>
    </row>
    <row r="349" spans="1:9" x14ac:dyDescent="0.3">
      <c r="A349" s="4" t="s">
        <v>359</v>
      </c>
      <c r="B349" s="5">
        <v>45951</v>
      </c>
      <c r="D349" t="s">
        <v>420</v>
      </c>
      <c r="E349" s="4">
        <v>25</v>
      </c>
      <c r="F349" s="4">
        <v>9224.15</v>
      </c>
      <c r="I349" s="4">
        <v>230603.75</v>
      </c>
    </row>
    <row r="350" spans="1:9" x14ac:dyDescent="0.3">
      <c r="A350" s="4" t="s">
        <v>359</v>
      </c>
      <c r="B350" s="5">
        <v>45951</v>
      </c>
      <c r="D350" t="s">
        <v>420</v>
      </c>
      <c r="E350" s="4">
        <v>50</v>
      </c>
      <c r="F350" s="4">
        <v>9867</v>
      </c>
      <c r="I350" s="4">
        <v>493350</v>
      </c>
    </row>
    <row r="351" spans="1:9" x14ac:dyDescent="0.3">
      <c r="A351" s="4" t="s">
        <v>369</v>
      </c>
      <c r="B351" s="5">
        <v>45952</v>
      </c>
      <c r="D351" t="s">
        <v>62</v>
      </c>
      <c r="E351" s="4">
        <v>100</v>
      </c>
      <c r="F351" s="4">
        <v>9847.5</v>
      </c>
      <c r="I351" s="4">
        <v>984750</v>
      </c>
    </row>
    <row r="352" spans="1:9" x14ac:dyDescent="0.3">
      <c r="A352" s="4" t="s">
        <v>360</v>
      </c>
      <c r="B352" s="5">
        <v>45953</v>
      </c>
      <c r="D352" t="s">
        <v>195</v>
      </c>
      <c r="E352" s="4">
        <v>50</v>
      </c>
      <c r="F352" s="4">
        <v>9347.5499999999993</v>
      </c>
      <c r="I352" s="4">
        <v>467377.5</v>
      </c>
    </row>
    <row r="353" spans="1:9" x14ac:dyDescent="0.3">
      <c r="A353" s="4" t="s">
        <v>360</v>
      </c>
      <c r="B353" s="5">
        <v>45953</v>
      </c>
      <c r="D353" t="s">
        <v>130</v>
      </c>
      <c r="E353" s="4">
        <v>50</v>
      </c>
      <c r="F353" s="4">
        <v>9999</v>
      </c>
      <c r="I353" s="4">
        <v>499950</v>
      </c>
    </row>
    <row r="354" spans="1:9" x14ac:dyDescent="0.3">
      <c r="A354" s="4" t="s">
        <v>360</v>
      </c>
      <c r="B354" s="5">
        <v>45953</v>
      </c>
      <c r="D354" t="s">
        <v>130</v>
      </c>
      <c r="E354" s="4">
        <v>20</v>
      </c>
      <c r="F354" s="4">
        <v>15074.25</v>
      </c>
      <c r="I354" s="4">
        <v>301485</v>
      </c>
    </row>
    <row r="355" spans="1:9" x14ac:dyDescent="0.3">
      <c r="A355" s="4" t="s">
        <v>373</v>
      </c>
      <c r="B355" s="5">
        <v>45954</v>
      </c>
      <c r="D355" t="s">
        <v>78</v>
      </c>
      <c r="E355" s="4">
        <v>20</v>
      </c>
      <c r="F355" s="4">
        <v>15471.4</v>
      </c>
      <c r="I355" s="4">
        <v>309428</v>
      </c>
    </row>
    <row r="356" spans="1:9" x14ac:dyDescent="0.3">
      <c r="A356" s="4" t="s">
        <v>373</v>
      </c>
      <c r="B356" s="5">
        <v>45954</v>
      </c>
      <c r="D356" t="s">
        <v>32</v>
      </c>
      <c r="E356" s="4">
        <v>50</v>
      </c>
      <c r="F356" s="4">
        <v>9782.5</v>
      </c>
      <c r="I356" s="4">
        <v>489125</v>
      </c>
    </row>
    <row r="357" spans="1:9" x14ac:dyDescent="0.3">
      <c r="A357" s="4" t="s">
        <v>379</v>
      </c>
      <c r="B357" s="5">
        <v>45954</v>
      </c>
      <c r="D357" t="s">
        <v>32</v>
      </c>
      <c r="E357" s="4">
        <v>25</v>
      </c>
      <c r="F357" s="4">
        <v>9782.5</v>
      </c>
      <c r="I357" s="4">
        <v>244562.5</v>
      </c>
    </row>
    <row r="358" spans="1:9" x14ac:dyDescent="0.3">
      <c r="A358" s="4" t="s">
        <v>370</v>
      </c>
      <c r="B358" s="5">
        <v>45957</v>
      </c>
      <c r="D358" t="s">
        <v>172</v>
      </c>
      <c r="E358" s="4">
        <v>125</v>
      </c>
      <c r="F358" s="4">
        <v>9999</v>
      </c>
      <c r="I358" s="4">
        <v>1249875</v>
      </c>
    </row>
    <row r="359" spans="1:9" x14ac:dyDescent="0.3">
      <c r="A359" s="4" t="s">
        <v>370</v>
      </c>
      <c r="B359" s="5">
        <v>45957</v>
      </c>
      <c r="D359" t="s">
        <v>172</v>
      </c>
      <c r="E359" s="4">
        <v>20</v>
      </c>
      <c r="F359" s="4">
        <v>15574.2</v>
      </c>
      <c r="I359" s="4">
        <v>311484</v>
      </c>
    </row>
    <row r="360" spans="1:9" x14ac:dyDescent="0.3">
      <c r="A360" s="4" t="s">
        <v>361</v>
      </c>
      <c r="B360" s="5">
        <v>45958</v>
      </c>
      <c r="D360" t="s">
        <v>172</v>
      </c>
      <c r="E360" s="4">
        <v>50</v>
      </c>
      <c r="F360" s="4">
        <v>9008.2000000000007</v>
      </c>
      <c r="I360" s="4">
        <v>450410</v>
      </c>
    </row>
    <row r="361" spans="1:9" x14ac:dyDescent="0.3">
      <c r="A361" s="4" t="s">
        <v>362</v>
      </c>
      <c r="B361" s="5">
        <v>45961</v>
      </c>
      <c r="D361" t="s">
        <v>172</v>
      </c>
      <c r="E361" s="4">
        <v>50</v>
      </c>
      <c r="F361" s="4">
        <v>9039.0499999999993</v>
      </c>
      <c r="I361" s="4">
        <v>451952.5</v>
      </c>
    </row>
    <row r="362" spans="1:9" x14ac:dyDescent="0.3">
      <c r="A362" s="4" t="s">
        <v>371</v>
      </c>
      <c r="B362" s="5">
        <v>45961</v>
      </c>
      <c r="D362" t="s">
        <v>172</v>
      </c>
      <c r="E362" s="4">
        <v>150</v>
      </c>
      <c r="F362" s="4">
        <v>9669</v>
      </c>
      <c r="I362" s="4">
        <v>1450350</v>
      </c>
    </row>
    <row r="363" spans="1:9" x14ac:dyDescent="0.3">
      <c r="A363" s="1" t="s">
        <v>388</v>
      </c>
      <c r="B363" s="2">
        <v>45965</v>
      </c>
      <c r="D363" t="s">
        <v>47</v>
      </c>
      <c r="E363" s="1">
        <v>20</v>
      </c>
      <c r="F363" s="1">
        <v>15317.2</v>
      </c>
      <c r="I363" s="1">
        <v>306344</v>
      </c>
    </row>
    <row r="364" spans="1:9" x14ac:dyDescent="0.3">
      <c r="A364" s="1" t="s">
        <v>388</v>
      </c>
      <c r="B364" s="2">
        <v>45965</v>
      </c>
      <c r="D364" t="s">
        <v>47</v>
      </c>
      <c r="E364" s="1">
        <v>20</v>
      </c>
      <c r="F364" s="1">
        <v>27758.7</v>
      </c>
      <c r="I364" s="1">
        <v>555174</v>
      </c>
    </row>
    <row r="365" spans="1:9" x14ac:dyDescent="0.3">
      <c r="A365" s="1" t="s">
        <v>388</v>
      </c>
      <c r="B365" s="2">
        <v>45965</v>
      </c>
      <c r="D365" t="s">
        <v>47</v>
      </c>
      <c r="E365" s="1">
        <v>25</v>
      </c>
      <c r="F365" s="1">
        <v>13380.2</v>
      </c>
      <c r="I365" s="1">
        <v>334505</v>
      </c>
    </row>
    <row r="366" spans="1:9" x14ac:dyDescent="0.3">
      <c r="A366" s="1" t="s">
        <v>395</v>
      </c>
      <c r="B366" s="2">
        <v>45966</v>
      </c>
      <c r="D366" t="s">
        <v>47</v>
      </c>
      <c r="E366" s="1">
        <v>75</v>
      </c>
      <c r="F366" s="1">
        <v>9652.5</v>
      </c>
      <c r="I366" s="1">
        <v>723937.5</v>
      </c>
    </row>
    <row r="367" spans="1:9" x14ac:dyDescent="0.3">
      <c r="A367" s="1" t="s">
        <v>384</v>
      </c>
      <c r="B367" s="2">
        <v>45967</v>
      </c>
      <c r="D367" t="s">
        <v>30</v>
      </c>
      <c r="E367" s="1">
        <v>75</v>
      </c>
      <c r="F367" s="1">
        <v>9735</v>
      </c>
      <c r="I367" s="1">
        <v>730125</v>
      </c>
    </row>
    <row r="368" spans="1:9" x14ac:dyDescent="0.3">
      <c r="A368" s="1" t="s">
        <v>384</v>
      </c>
      <c r="B368" s="2">
        <v>45967</v>
      </c>
      <c r="D368" t="s">
        <v>30</v>
      </c>
      <c r="E368" s="1">
        <v>25</v>
      </c>
      <c r="F368" s="1">
        <v>9528.5</v>
      </c>
      <c r="I368" s="1">
        <v>238212.5</v>
      </c>
    </row>
    <row r="369" spans="1:9" x14ac:dyDescent="0.3">
      <c r="A369" s="1" t="s">
        <v>385</v>
      </c>
      <c r="B369" s="2">
        <v>45971</v>
      </c>
      <c r="D369" t="s">
        <v>30</v>
      </c>
      <c r="E369" s="1">
        <v>50</v>
      </c>
      <c r="F369" s="1">
        <v>9537</v>
      </c>
      <c r="I369" s="1">
        <v>476850</v>
      </c>
    </row>
    <row r="370" spans="1:9" x14ac:dyDescent="0.3">
      <c r="A370" s="1" t="s">
        <v>385</v>
      </c>
      <c r="B370" s="2">
        <v>45971</v>
      </c>
      <c r="D370" t="s">
        <v>30</v>
      </c>
      <c r="E370" s="1">
        <v>20</v>
      </c>
      <c r="F370" s="1">
        <v>14854.6</v>
      </c>
      <c r="I370" s="1">
        <v>297092</v>
      </c>
    </row>
    <row r="371" spans="1:9" x14ac:dyDescent="0.3">
      <c r="A371" s="1" t="s">
        <v>392</v>
      </c>
      <c r="B371" s="2">
        <v>45971</v>
      </c>
      <c r="D371" t="s">
        <v>30</v>
      </c>
      <c r="E371" s="1">
        <v>25</v>
      </c>
      <c r="F371" s="1">
        <v>11892.35</v>
      </c>
      <c r="I371" s="1">
        <v>297308.75</v>
      </c>
    </row>
    <row r="372" spans="1:9" x14ac:dyDescent="0.3">
      <c r="A372" s="1" t="s">
        <v>385</v>
      </c>
      <c r="B372" s="2">
        <v>45971</v>
      </c>
      <c r="D372" t="s">
        <v>30</v>
      </c>
      <c r="E372" s="1">
        <v>25</v>
      </c>
      <c r="F372" s="1">
        <v>13741.95</v>
      </c>
      <c r="I372" s="1">
        <v>343548.75</v>
      </c>
    </row>
    <row r="373" spans="1:9" x14ac:dyDescent="0.3">
      <c r="A373" s="1" t="s">
        <v>396</v>
      </c>
      <c r="B373" s="2">
        <v>45971</v>
      </c>
      <c r="D373" t="s">
        <v>50</v>
      </c>
      <c r="E373" s="1">
        <v>25</v>
      </c>
      <c r="F373" s="1">
        <v>13741.95</v>
      </c>
      <c r="I373" s="1">
        <v>343548.75</v>
      </c>
    </row>
    <row r="374" spans="1:9" x14ac:dyDescent="0.3">
      <c r="A374" s="1" t="s">
        <v>391</v>
      </c>
      <c r="B374" s="2">
        <v>45973</v>
      </c>
      <c r="D374" t="s">
        <v>50</v>
      </c>
      <c r="E374" s="1">
        <v>25</v>
      </c>
      <c r="F374" s="1">
        <v>12976.1</v>
      </c>
      <c r="I374" s="1">
        <v>324402.5</v>
      </c>
    </row>
    <row r="375" spans="1:9" x14ac:dyDescent="0.3">
      <c r="A375" s="1" t="s">
        <v>391</v>
      </c>
      <c r="B375" s="2">
        <v>45973</v>
      </c>
      <c r="D375" t="s">
        <v>50</v>
      </c>
      <c r="E375" s="1">
        <v>25</v>
      </c>
      <c r="F375" s="1">
        <v>11892.35</v>
      </c>
      <c r="I375" s="1">
        <v>297308.75</v>
      </c>
    </row>
    <row r="376" spans="1:9" x14ac:dyDescent="0.3">
      <c r="A376" s="1" t="s">
        <v>391</v>
      </c>
      <c r="B376" s="2">
        <v>45973</v>
      </c>
      <c r="D376" t="s">
        <v>420</v>
      </c>
      <c r="E376" s="1">
        <v>25</v>
      </c>
      <c r="F376" s="1">
        <v>13741.95</v>
      </c>
      <c r="I376" s="1">
        <v>343548.75</v>
      </c>
    </row>
    <row r="377" spans="1:9" x14ac:dyDescent="0.3">
      <c r="A377" s="1" t="s">
        <v>397</v>
      </c>
      <c r="B377" s="2">
        <v>45973</v>
      </c>
      <c r="D377" t="s">
        <v>420</v>
      </c>
      <c r="E377" s="1">
        <v>-25</v>
      </c>
      <c r="F377" s="1">
        <v>13741.95</v>
      </c>
      <c r="I377" s="1">
        <v>-343548.75</v>
      </c>
    </row>
    <row r="378" spans="1:9" x14ac:dyDescent="0.3">
      <c r="A378" s="1" t="s">
        <v>386</v>
      </c>
      <c r="B378" s="2">
        <v>45974</v>
      </c>
      <c r="D378" t="s">
        <v>420</v>
      </c>
      <c r="E378" s="1">
        <v>150</v>
      </c>
      <c r="F378" s="1">
        <v>9471</v>
      </c>
      <c r="I378" s="1">
        <v>1420650</v>
      </c>
    </row>
    <row r="379" spans="1:9" x14ac:dyDescent="0.3">
      <c r="A379" s="1" t="s">
        <v>386</v>
      </c>
      <c r="B379" s="2">
        <v>45974</v>
      </c>
      <c r="D379" t="s">
        <v>420</v>
      </c>
      <c r="E379" s="1">
        <v>20</v>
      </c>
      <c r="F379" s="1">
        <v>14278.25</v>
      </c>
      <c r="I379" s="1">
        <v>285565</v>
      </c>
    </row>
    <row r="380" spans="1:9" x14ac:dyDescent="0.3">
      <c r="A380" s="1" t="s">
        <v>380</v>
      </c>
      <c r="B380" s="2">
        <v>45975</v>
      </c>
      <c r="D380" t="s">
        <v>420</v>
      </c>
      <c r="E380" s="1">
        <v>25</v>
      </c>
      <c r="F380" s="1">
        <v>8823.1</v>
      </c>
      <c r="I380" s="1">
        <v>220577.5</v>
      </c>
    </row>
    <row r="381" spans="1:9" x14ac:dyDescent="0.3">
      <c r="A381" s="1" t="s">
        <v>380</v>
      </c>
      <c r="B381" s="2">
        <v>45975</v>
      </c>
      <c r="D381" t="s">
        <v>62</v>
      </c>
      <c r="E381" s="1">
        <v>50</v>
      </c>
      <c r="F381" s="1">
        <v>9438</v>
      </c>
      <c r="I381" s="1">
        <v>471900</v>
      </c>
    </row>
    <row r="382" spans="1:9" x14ac:dyDescent="0.3">
      <c r="A382" s="1" t="s">
        <v>380</v>
      </c>
      <c r="B382" s="2">
        <v>45975</v>
      </c>
      <c r="D382" t="s">
        <v>76</v>
      </c>
      <c r="E382" s="1">
        <v>20</v>
      </c>
      <c r="F382" s="1">
        <v>14700.4</v>
      </c>
      <c r="I382" s="1">
        <v>294008</v>
      </c>
    </row>
    <row r="383" spans="1:9" x14ac:dyDescent="0.3">
      <c r="A383" s="1" t="s">
        <v>381</v>
      </c>
      <c r="B383" s="2">
        <v>45978</v>
      </c>
      <c r="D383" t="s">
        <v>130</v>
      </c>
      <c r="E383" s="1">
        <v>25</v>
      </c>
      <c r="F383" s="1">
        <v>8792.25</v>
      </c>
      <c r="I383" s="1">
        <v>219806.25</v>
      </c>
    </row>
    <row r="384" spans="1:9" x14ac:dyDescent="0.3">
      <c r="A384" s="1" t="s">
        <v>381</v>
      </c>
      <c r="B384" s="2">
        <v>45978</v>
      </c>
      <c r="D384" t="s">
        <v>130</v>
      </c>
      <c r="E384" s="1">
        <v>25</v>
      </c>
      <c r="F384" s="1">
        <v>11400</v>
      </c>
      <c r="I384" s="1">
        <v>285000</v>
      </c>
    </row>
    <row r="385" spans="1:9" x14ac:dyDescent="0.3">
      <c r="A385" s="1" t="s">
        <v>387</v>
      </c>
      <c r="B385" s="2">
        <v>45979</v>
      </c>
      <c r="D385" t="s">
        <v>421</v>
      </c>
      <c r="E385" s="1">
        <v>50</v>
      </c>
      <c r="F385" s="1">
        <v>9339</v>
      </c>
      <c r="I385" s="1">
        <v>466950</v>
      </c>
    </row>
    <row r="386" spans="1:9" x14ac:dyDescent="0.3">
      <c r="A386" s="1" t="s">
        <v>387</v>
      </c>
      <c r="B386" s="2">
        <v>45979</v>
      </c>
      <c r="D386" t="s">
        <v>421</v>
      </c>
      <c r="E386" s="1">
        <v>25</v>
      </c>
      <c r="F386" s="1">
        <v>11320</v>
      </c>
      <c r="I386" s="1">
        <v>283000</v>
      </c>
    </row>
    <row r="387" spans="1:9" x14ac:dyDescent="0.3">
      <c r="A387" s="1" t="s">
        <v>382</v>
      </c>
      <c r="B387" s="2">
        <v>45980</v>
      </c>
      <c r="D387" t="s">
        <v>32</v>
      </c>
      <c r="E387" s="1">
        <v>25</v>
      </c>
      <c r="F387" s="1">
        <v>8792.25</v>
      </c>
      <c r="I387" s="1">
        <v>219806.25</v>
      </c>
    </row>
    <row r="388" spans="1:9" x14ac:dyDescent="0.3">
      <c r="A388" s="1" t="s">
        <v>382</v>
      </c>
      <c r="B388" s="2">
        <v>45980</v>
      </c>
      <c r="D388" t="s">
        <v>32</v>
      </c>
      <c r="E388" s="1">
        <v>20</v>
      </c>
      <c r="F388" s="1">
        <v>14178.75</v>
      </c>
      <c r="I388" s="1">
        <v>283575</v>
      </c>
    </row>
    <row r="389" spans="1:9" x14ac:dyDescent="0.3">
      <c r="A389" s="1" t="s">
        <v>382</v>
      </c>
      <c r="B389" s="2">
        <v>45980</v>
      </c>
      <c r="D389" t="s">
        <v>32</v>
      </c>
      <c r="E389" s="1">
        <v>20</v>
      </c>
      <c r="F389" s="1">
        <v>14649</v>
      </c>
      <c r="I389" s="1">
        <v>292980</v>
      </c>
    </row>
    <row r="390" spans="1:9" x14ac:dyDescent="0.3">
      <c r="A390" s="1" t="s">
        <v>382</v>
      </c>
      <c r="B390" s="2">
        <v>45980</v>
      </c>
      <c r="D390" t="s">
        <v>32</v>
      </c>
      <c r="E390" s="1">
        <v>25</v>
      </c>
      <c r="F390" s="1">
        <v>11400</v>
      </c>
      <c r="I390" s="1">
        <v>285000</v>
      </c>
    </row>
    <row r="391" spans="1:9" x14ac:dyDescent="0.3">
      <c r="A391" s="1" t="s">
        <v>383</v>
      </c>
      <c r="B391" s="2">
        <v>45981</v>
      </c>
      <c r="D391" t="s">
        <v>32</v>
      </c>
      <c r="E391" s="1">
        <v>25</v>
      </c>
      <c r="F391" s="1">
        <v>8823.1</v>
      </c>
      <c r="I391" s="1">
        <v>220577.5</v>
      </c>
    </row>
    <row r="392" spans="1:9" x14ac:dyDescent="0.3">
      <c r="A392" s="1" t="s">
        <v>383</v>
      </c>
      <c r="B392" s="2">
        <v>45981</v>
      </c>
      <c r="D392" t="s">
        <v>172</v>
      </c>
      <c r="E392" s="1">
        <v>75</v>
      </c>
      <c r="F392" s="1">
        <v>10010</v>
      </c>
      <c r="I392" s="1">
        <v>750750</v>
      </c>
    </row>
    <row r="393" spans="1:9" x14ac:dyDescent="0.3">
      <c r="A393" s="1" t="s">
        <v>383</v>
      </c>
      <c r="B393" s="2">
        <v>45981</v>
      </c>
      <c r="D393" t="s">
        <v>172</v>
      </c>
      <c r="E393" s="1">
        <v>20</v>
      </c>
      <c r="F393" s="1">
        <v>14228.5</v>
      </c>
      <c r="I393" s="1">
        <v>284570</v>
      </c>
    </row>
    <row r="394" spans="1:9" x14ac:dyDescent="0.3">
      <c r="A394" s="1" t="s">
        <v>383</v>
      </c>
      <c r="B394" s="2">
        <v>45981</v>
      </c>
      <c r="D394" t="s">
        <v>425</v>
      </c>
      <c r="E394" s="1">
        <v>50</v>
      </c>
      <c r="F394" s="1">
        <v>8823.1</v>
      </c>
      <c r="I394" s="1">
        <v>441155</v>
      </c>
    </row>
    <row r="395" spans="1:9" x14ac:dyDescent="0.3">
      <c r="A395" s="1" t="s">
        <v>389</v>
      </c>
      <c r="B395" s="2">
        <v>45986</v>
      </c>
      <c r="D395" t="s">
        <v>425</v>
      </c>
      <c r="E395" s="1">
        <v>20</v>
      </c>
      <c r="F395" s="1">
        <v>14906</v>
      </c>
      <c r="I395" s="1">
        <v>298120</v>
      </c>
    </row>
    <row r="396" spans="1:9" x14ac:dyDescent="0.3">
      <c r="A396" s="1" t="s">
        <v>389</v>
      </c>
      <c r="B396" s="2">
        <v>45986</v>
      </c>
      <c r="D396" t="s">
        <v>425</v>
      </c>
      <c r="E396" s="1">
        <v>251</v>
      </c>
      <c r="F396" s="1">
        <v>11600</v>
      </c>
      <c r="I396" s="1">
        <v>2911600</v>
      </c>
    </row>
    <row r="397" spans="1:9" x14ac:dyDescent="0.3">
      <c r="A397" s="1" t="s">
        <v>393</v>
      </c>
      <c r="B397" s="2">
        <v>45986</v>
      </c>
      <c r="D397" t="s">
        <v>425</v>
      </c>
      <c r="E397" s="1">
        <v>-226</v>
      </c>
      <c r="F397" s="1">
        <v>11600</v>
      </c>
      <c r="I397" s="1">
        <v>-2621600</v>
      </c>
    </row>
    <row r="398" spans="1:9" x14ac:dyDescent="0.3">
      <c r="A398" s="1" t="s">
        <v>400</v>
      </c>
      <c r="B398" s="2">
        <v>45992</v>
      </c>
      <c r="D398" t="s">
        <v>47</v>
      </c>
      <c r="E398" s="1">
        <v>25</v>
      </c>
      <c r="F398" s="1">
        <v>9100.75</v>
      </c>
      <c r="I398" s="1">
        <v>227518.75</v>
      </c>
    </row>
    <row r="399" spans="1:9" x14ac:dyDescent="0.3">
      <c r="A399" s="1" t="s">
        <v>400</v>
      </c>
      <c r="B399" s="2">
        <v>45992</v>
      </c>
      <c r="D399" t="s">
        <v>47</v>
      </c>
      <c r="E399" s="1">
        <v>50</v>
      </c>
      <c r="F399" s="1">
        <v>9587.5</v>
      </c>
      <c r="I399" s="1">
        <v>479375</v>
      </c>
    </row>
    <row r="400" spans="1:9" x14ac:dyDescent="0.3">
      <c r="A400" s="1" t="s">
        <v>401</v>
      </c>
      <c r="B400" s="2">
        <v>45994</v>
      </c>
      <c r="D400" t="s">
        <v>47</v>
      </c>
      <c r="E400" s="1">
        <v>25</v>
      </c>
      <c r="F400" s="1">
        <v>9131.6</v>
      </c>
      <c r="I400" s="1">
        <v>228290</v>
      </c>
    </row>
    <row r="401" spans="1:9" x14ac:dyDescent="0.3">
      <c r="A401" s="1" t="s">
        <v>401</v>
      </c>
      <c r="B401" s="2">
        <v>45994</v>
      </c>
      <c r="D401" t="s">
        <v>47</v>
      </c>
      <c r="E401" s="1">
        <v>50</v>
      </c>
      <c r="F401" s="1">
        <v>9620</v>
      </c>
      <c r="I401" s="1">
        <v>481000</v>
      </c>
    </row>
    <row r="402" spans="1:9" x14ac:dyDescent="0.3">
      <c r="A402" s="1" t="s">
        <v>402</v>
      </c>
      <c r="B402" s="2">
        <v>45996</v>
      </c>
      <c r="D402" t="s">
        <v>47</v>
      </c>
      <c r="E402" s="1">
        <v>25</v>
      </c>
      <c r="F402" s="1">
        <v>9069.9</v>
      </c>
      <c r="I402" s="1">
        <v>226747.5</v>
      </c>
    </row>
    <row r="403" spans="1:9" x14ac:dyDescent="0.3">
      <c r="A403" s="1" t="s">
        <v>402</v>
      </c>
      <c r="B403" s="2">
        <v>45996</v>
      </c>
      <c r="D403" t="s">
        <v>47</v>
      </c>
      <c r="E403" s="1">
        <v>20</v>
      </c>
      <c r="F403" s="1">
        <v>14626.5</v>
      </c>
      <c r="I403" s="1">
        <v>292530</v>
      </c>
    </row>
    <row r="404" spans="1:9" x14ac:dyDescent="0.3">
      <c r="A404" s="1" t="s">
        <v>402</v>
      </c>
      <c r="B404" s="2">
        <v>45996</v>
      </c>
      <c r="D404" t="s">
        <v>47</v>
      </c>
      <c r="E404" s="1">
        <v>25</v>
      </c>
      <c r="F404" s="1">
        <v>13200.6</v>
      </c>
      <c r="I404" s="1">
        <v>330015</v>
      </c>
    </row>
    <row r="405" spans="1:9" x14ac:dyDescent="0.3">
      <c r="A405" s="1" t="s">
        <v>412</v>
      </c>
      <c r="B405" s="2">
        <v>46000</v>
      </c>
      <c r="D405" t="s">
        <v>30</v>
      </c>
      <c r="E405" s="1">
        <v>20</v>
      </c>
      <c r="F405" s="1">
        <v>14527</v>
      </c>
      <c r="I405" s="1">
        <v>290540</v>
      </c>
    </row>
    <row r="406" spans="1:9" x14ac:dyDescent="0.3">
      <c r="A406" s="1" t="s">
        <v>412</v>
      </c>
      <c r="B406" s="2">
        <v>46000</v>
      </c>
      <c r="D406" t="s">
        <v>30</v>
      </c>
      <c r="E406" s="1">
        <v>20</v>
      </c>
      <c r="F406" s="1">
        <v>15008.8</v>
      </c>
      <c r="I406" s="1">
        <v>300176</v>
      </c>
    </row>
    <row r="407" spans="1:9" x14ac:dyDescent="0.3">
      <c r="A407" s="1" t="s">
        <v>403</v>
      </c>
      <c r="B407" s="2">
        <v>46001</v>
      </c>
      <c r="D407" t="s">
        <v>30</v>
      </c>
      <c r="E407" s="1">
        <v>50</v>
      </c>
      <c r="F407" s="1">
        <v>9039.0499999999993</v>
      </c>
      <c r="I407" s="1">
        <v>451952.5</v>
      </c>
    </row>
    <row r="408" spans="1:9" x14ac:dyDescent="0.3">
      <c r="A408" s="1" t="s">
        <v>403</v>
      </c>
      <c r="B408" s="2">
        <v>46001</v>
      </c>
      <c r="D408" t="s">
        <v>30</v>
      </c>
      <c r="E408" s="1">
        <v>50</v>
      </c>
      <c r="F408" s="1">
        <v>10255</v>
      </c>
      <c r="I408" s="1">
        <v>512750</v>
      </c>
    </row>
    <row r="409" spans="1:9" x14ac:dyDescent="0.3">
      <c r="A409" s="1" t="s">
        <v>404</v>
      </c>
      <c r="B409" s="2">
        <v>46002</v>
      </c>
      <c r="D409" t="s">
        <v>30</v>
      </c>
      <c r="E409" s="1">
        <v>25</v>
      </c>
      <c r="F409" s="1">
        <v>9039.0499999999993</v>
      </c>
      <c r="I409" s="1">
        <v>225976.25</v>
      </c>
    </row>
    <row r="410" spans="1:9" x14ac:dyDescent="0.3">
      <c r="A410" s="1" t="s">
        <v>404</v>
      </c>
      <c r="B410" s="2">
        <v>46002</v>
      </c>
      <c r="D410" t="s">
        <v>30</v>
      </c>
      <c r="E410" s="1">
        <v>50</v>
      </c>
      <c r="F410" s="1">
        <v>9669</v>
      </c>
      <c r="I410" s="1">
        <v>483450</v>
      </c>
    </row>
    <row r="411" spans="1:9" x14ac:dyDescent="0.3">
      <c r="A411" s="1" t="s">
        <v>404</v>
      </c>
      <c r="B411" s="2">
        <v>46002</v>
      </c>
      <c r="D411" t="s">
        <v>30</v>
      </c>
      <c r="E411" s="1">
        <v>20</v>
      </c>
      <c r="F411" s="1">
        <v>14576.75</v>
      </c>
      <c r="I411" s="1">
        <v>291535</v>
      </c>
    </row>
    <row r="412" spans="1:9" x14ac:dyDescent="0.3">
      <c r="A412" s="1" t="s">
        <v>407</v>
      </c>
      <c r="B412" s="2">
        <v>46006</v>
      </c>
      <c r="D412" t="s">
        <v>30</v>
      </c>
      <c r="E412" s="1">
        <v>125</v>
      </c>
      <c r="F412" s="1">
        <v>9669</v>
      </c>
      <c r="I412" s="1">
        <v>1208625</v>
      </c>
    </row>
    <row r="413" spans="1:9" x14ac:dyDescent="0.3">
      <c r="A413" s="1" t="s">
        <v>407</v>
      </c>
      <c r="B413" s="2">
        <v>46006</v>
      </c>
      <c r="D413" t="s">
        <v>30</v>
      </c>
      <c r="E413" s="1">
        <v>20</v>
      </c>
      <c r="F413" s="1">
        <v>15060.2</v>
      </c>
      <c r="I413" s="1">
        <v>301204</v>
      </c>
    </row>
    <row r="414" spans="1:9" x14ac:dyDescent="0.3">
      <c r="A414" s="1" t="s">
        <v>413</v>
      </c>
      <c r="B414" s="2">
        <v>46006</v>
      </c>
      <c r="D414" t="s">
        <v>50</v>
      </c>
      <c r="E414" s="1">
        <v>25</v>
      </c>
      <c r="F414" s="1">
        <v>9463.9</v>
      </c>
      <c r="I414" s="1">
        <v>236597.5</v>
      </c>
    </row>
    <row r="415" spans="1:9" x14ac:dyDescent="0.3">
      <c r="A415" s="1" t="s">
        <v>405</v>
      </c>
      <c r="B415" s="2">
        <v>46007</v>
      </c>
      <c r="D415" t="s">
        <v>50</v>
      </c>
      <c r="E415" s="1">
        <v>50</v>
      </c>
      <c r="F415" s="1">
        <v>9039.0499999999993</v>
      </c>
      <c r="I415" s="1">
        <v>451952.5</v>
      </c>
    </row>
    <row r="416" spans="1:9" x14ac:dyDescent="0.3">
      <c r="A416" s="1" t="s">
        <v>405</v>
      </c>
      <c r="B416" s="2">
        <v>46007</v>
      </c>
      <c r="D416" t="s">
        <v>50</v>
      </c>
      <c r="E416" s="1">
        <v>50</v>
      </c>
      <c r="F416" s="1">
        <v>9669</v>
      </c>
      <c r="I416" s="1">
        <v>483450</v>
      </c>
    </row>
    <row r="417" spans="1:9" x14ac:dyDescent="0.3">
      <c r="A417" s="1" t="s">
        <v>408</v>
      </c>
      <c r="B417" s="2">
        <v>46008</v>
      </c>
      <c r="D417" t="s">
        <v>50</v>
      </c>
      <c r="E417" s="1">
        <v>50</v>
      </c>
      <c r="F417" s="1">
        <v>9768</v>
      </c>
      <c r="I417" s="1">
        <v>488400</v>
      </c>
    </row>
    <row r="418" spans="1:9" x14ac:dyDescent="0.3">
      <c r="A418" s="1" t="s">
        <v>408</v>
      </c>
      <c r="B418" s="2">
        <v>46008</v>
      </c>
      <c r="D418" t="s">
        <v>420</v>
      </c>
      <c r="E418" s="1">
        <v>15</v>
      </c>
      <c r="F418" s="1">
        <v>35520</v>
      </c>
      <c r="I418" s="1">
        <v>532800</v>
      </c>
    </row>
    <row r="419" spans="1:9" x14ac:dyDescent="0.3">
      <c r="A419" s="1" t="s">
        <v>408</v>
      </c>
      <c r="B419" s="2">
        <v>46008</v>
      </c>
      <c r="D419" t="s">
        <v>420</v>
      </c>
      <c r="E419" s="1">
        <v>15</v>
      </c>
      <c r="F419" s="1">
        <v>37666</v>
      </c>
      <c r="I419" s="1">
        <v>564990</v>
      </c>
    </row>
    <row r="420" spans="1:9" x14ac:dyDescent="0.3">
      <c r="A420" s="1" t="s">
        <v>408</v>
      </c>
      <c r="B420" s="2">
        <v>46008</v>
      </c>
      <c r="D420" t="s">
        <v>420</v>
      </c>
      <c r="E420" s="1">
        <v>15</v>
      </c>
      <c r="F420" s="1">
        <v>38435.599999999999</v>
      </c>
      <c r="I420" s="1">
        <v>576534</v>
      </c>
    </row>
    <row r="421" spans="1:9" x14ac:dyDescent="0.3">
      <c r="A421" s="1" t="s">
        <v>409</v>
      </c>
      <c r="B421" s="2">
        <v>46009</v>
      </c>
      <c r="D421" t="s">
        <v>420</v>
      </c>
      <c r="E421" s="1">
        <v>50</v>
      </c>
      <c r="F421" s="1">
        <v>9735</v>
      </c>
      <c r="I421" s="1">
        <v>486750</v>
      </c>
    </row>
    <row r="422" spans="1:9" x14ac:dyDescent="0.3">
      <c r="A422" s="1" t="s">
        <v>409</v>
      </c>
      <c r="B422" s="2">
        <v>46009</v>
      </c>
      <c r="D422" t="s">
        <v>420</v>
      </c>
      <c r="E422" s="1">
        <v>20</v>
      </c>
      <c r="F422" s="1">
        <v>14676.25</v>
      </c>
      <c r="I422" s="1">
        <v>293525</v>
      </c>
    </row>
    <row r="423" spans="1:9" x14ac:dyDescent="0.3">
      <c r="A423" s="1" t="s">
        <v>409</v>
      </c>
      <c r="B423" s="2">
        <v>46009</v>
      </c>
      <c r="D423" t="s">
        <v>62</v>
      </c>
      <c r="E423" s="1">
        <v>20</v>
      </c>
      <c r="F423" s="1">
        <v>15163</v>
      </c>
      <c r="I423" s="1">
        <v>303260</v>
      </c>
    </row>
    <row r="424" spans="1:9" x14ac:dyDescent="0.3">
      <c r="A424" s="1" t="s">
        <v>406</v>
      </c>
      <c r="B424" s="2">
        <v>46013</v>
      </c>
      <c r="D424" t="s">
        <v>130</v>
      </c>
      <c r="E424" s="1">
        <v>50</v>
      </c>
      <c r="F424" s="1">
        <v>9100.75</v>
      </c>
      <c r="I424" s="1">
        <v>455037.5</v>
      </c>
    </row>
    <row r="425" spans="1:9" x14ac:dyDescent="0.3">
      <c r="A425" s="1" t="s">
        <v>406</v>
      </c>
      <c r="B425" s="2">
        <v>46013</v>
      </c>
      <c r="D425" t="s">
        <v>236</v>
      </c>
      <c r="E425" s="1">
        <v>50</v>
      </c>
      <c r="F425" s="1">
        <v>9735</v>
      </c>
      <c r="I425" s="1">
        <v>486750</v>
      </c>
    </row>
    <row r="426" spans="1:9" x14ac:dyDescent="0.3">
      <c r="A426" s="1" t="s">
        <v>406</v>
      </c>
      <c r="B426" s="2">
        <v>46013</v>
      </c>
      <c r="D426" t="s">
        <v>172</v>
      </c>
      <c r="E426" s="1">
        <v>20</v>
      </c>
      <c r="F426" s="1">
        <v>15163</v>
      </c>
      <c r="I426" s="1">
        <v>303260</v>
      </c>
    </row>
    <row r="427" spans="1:9" x14ac:dyDescent="0.3">
      <c r="A427" s="1" t="s">
        <v>406</v>
      </c>
      <c r="B427" s="2">
        <v>46013</v>
      </c>
      <c r="D427" t="s">
        <v>172</v>
      </c>
      <c r="E427" s="1">
        <v>25</v>
      </c>
      <c r="F427" s="1">
        <v>14027.25</v>
      </c>
      <c r="I427" s="1">
        <v>350681.25</v>
      </c>
    </row>
    <row r="428" spans="1:9" x14ac:dyDescent="0.3">
      <c r="A428" s="1" t="s">
        <v>410</v>
      </c>
      <c r="B428" s="2">
        <v>46020</v>
      </c>
      <c r="D428" t="s">
        <v>425</v>
      </c>
      <c r="E428" s="1">
        <v>50</v>
      </c>
      <c r="F428" s="1">
        <v>9735</v>
      </c>
      <c r="I428" s="1">
        <v>486750</v>
      </c>
    </row>
    <row r="429" spans="1:9" x14ac:dyDescent="0.3">
      <c r="A429" s="1" t="s">
        <v>410</v>
      </c>
      <c r="B429" s="2">
        <v>46020</v>
      </c>
      <c r="D429" t="s">
        <v>425</v>
      </c>
      <c r="E429" s="1">
        <v>20</v>
      </c>
      <c r="F429" s="1">
        <v>15163</v>
      </c>
      <c r="I429" s="1">
        <v>303260</v>
      </c>
    </row>
    <row r="430" spans="1:9" x14ac:dyDescent="0.3">
      <c r="A430" s="1" t="s">
        <v>410</v>
      </c>
      <c r="B430" s="2">
        <v>46020</v>
      </c>
      <c r="D430" t="s">
        <v>426</v>
      </c>
      <c r="E430" s="1">
        <v>25</v>
      </c>
      <c r="F430" s="1">
        <v>14027.25</v>
      </c>
      <c r="I430" s="1">
        <v>350681.25</v>
      </c>
    </row>
    <row r="431" spans="1:9" x14ac:dyDescent="0.3">
      <c r="A431" s="1" t="s">
        <v>411</v>
      </c>
      <c r="B431" s="2">
        <v>46021</v>
      </c>
      <c r="D431" t="s">
        <v>427</v>
      </c>
      <c r="E431" s="1">
        <v>75</v>
      </c>
      <c r="F431" s="1">
        <v>9735</v>
      </c>
      <c r="I431" s="1">
        <v>730125</v>
      </c>
    </row>
    <row r="432" spans="1:9" x14ac:dyDescent="0.3">
      <c r="A432" s="1" t="s">
        <v>411</v>
      </c>
      <c r="B432" s="2">
        <v>46021</v>
      </c>
      <c r="D432" t="s">
        <v>428</v>
      </c>
      <c r="E432" s="1">
        <v>25</v>
      </c>
      <c r="F432" s="1">
        <v>14602.5</v>
      </c>
      <c r="I432" s="1">
        <v>365062.5</v>
      </c>
    </row>
    <row r="433" spans="5:9" x14ac:dyDescent="0.3">
      <c r="E433">
        <f>SUM(E2:E432)</f>
        <v>19825</v>
      </c>
      <c r="F433">
        <f>AVERAGE(F2:F432)</f>
        <v>26559.262668213436</v>
      </c>
      <c r="I433" s="6">
        <f>SUM(I2:I432)</f>
        <v>199847066.09999999</v>
      </c>
    </row>
  </sheetData>
  <autoFilter ref="A1:I43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Enero a Junio</vt:lpstr>
      <vt:lpstr>Ene-Jun Filtrada</vt:lpstr>
      <vt:lpstr>Julio a Diciembre</vt:lpstr>
      <vt:lpstr>Jul-Dic Filtrada</vt:lpstr>
      <vt:lpstr>WEG FACTURAS ND NC ANUAL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2026-05-04T13:05:57Z</dcterms:created>
  <dcterms:modified xsi:type="dcterms:W3CDTF">2026-05-27T20:18:45Z</dcterms:modified>
</cp:coreProperties>
</file>